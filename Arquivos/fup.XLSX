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Py/Pendencias/Arquivos/"/>
    </mc:Choice>
  </mc:AlternateContent>
  <xr:revisionPtr revIDLastSave="8" documentId="11_7D9F5AD71E01F0FA183DB31720D275057F71790A" xr6:coauthVersionLast="47" xr6:coauthVersionMax="47" xr10:uidLastSave="{F16A4342-9617-4EB7-9ACB-646D6E82662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37" i="1" l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<sst xmlns="http://schemas.openxmlformats.org/spreadsheetml/2006/main" count="3991" uniqueCount="414">
  <si>
    <t/>
  </si>
  <si>
    <t>4500167723</t>
  </si>
  <si>
    <t>DEP9</t>
  </si>
  <si>
    <t>30194</t>
  </si>
  <si>
    <t>MARUBENI CORPORATION</t>
  </si>
  <si>
    <t>160</t>
  </si>
  <si>
    <t>A50UN10602</t>
  </si>
  <si>
    <t>FIAÇÃO</t>
  </si>
  <si>
    <t>USD</t>
  </si>
  <si>
    <t>DC2985</t>
  </si>
  <si>
    <t>BBR7757</t>
  </si>
  <si>
    <t>0.00000</t>
  </si>
  <si>
    <t>false</t>
  </si>
  <si>
    <t>PCPS</t>
  </si>
  <si>
    <t>4500171024</t>
  </si>
  <si>
    <t>DEP5</t>
  </si>
  <si>
    <t>250</t>
  </si>
  <si>
    <t>A92WR70744</t>
  </si>
  <si>
    <t>UNIDADE DE TRANSFERÊNCIA /2</t>
  </si>
  <si>
    <t>DC3065</t>
  </si>
  <si>
    <t>BBR7785</t>
  </si>
  <si>
    <t>0000075I24</t>
  </si>
  <si>
    <t>5000003668</t>
  </si>
  <si>
    <t>CE10</t>
  </si>
  <si>
    <t>DEP3</t>
  </si>
  <si>
    <t>B-06</t>
  </si>
  <si>
    <t>2500</t>
  </si>
  <si>
    <t>PÇ</t>
  </si>
  <si>
    <t>A5AW720301</t>
  </si>
  <si>
    <t>MANTA DA FUSÃO</t>
  </si>
  <si>
    <t>DC2872</t>
  </si>
  <si>
    <t>BBR7709</t>
  </si>
  <si>
    <t>IMP 085-24</t>
  </si>
  <si>
    <t>MA</t>
  </si>
  <si>
    <t>Marítimo</t>
  </si>
  <si>
    <t>HKGS013247</t>
  </si>
  <si>
    <t>20.00000</t>
  </si>
  <si>
    <t>4PDX1316C</t>
  </si>
  <si>
    <t>KG</t>
  </si>
  <si>
    <t>8443.99.39</t>
  </si>
  <si>
    <t>33158</t>
  </si>
  <si>
    <t>3790</t>
  </si>
  <si>
    <t>AC0C728501</t>
  </si>
  <si>
    <t>CORREIA DA FUSÃO /D</t>
  </si>
  <si>
    <t>4.00000</t>
  </si>
  <si>
    <t>4010.39.00</t>
  </si>
  <si>
    <t>0000089I24</t>
  </si>
  <si>
    <t>3980</t>
  </si>
  <si>
    <t>IMP 099-24 AG</t>
  </si>
  <si>
    <t>MIQOHKG011361</t>
  </si>
  <si>
    <t>4PDX1356C</t>
  </si>
  <si>
    <t>3990</t>
  </si>
  <si>
    <t>15.00000</t>
  </si>
  <si>
    <t>4000</t>
  </si>
  <si>
    <t>AC0C720300</t>
  </si>
  <si>
    <t>CORREIA DA FUSÃO 527L</t>
  </si>
  <si>
    <t>3.00000</t>
  </si>
  <si>
    <t>0000074I24</t>
  </si>
  <si>
    <t>5000003674</t>
  </si>
  <si>
    <t>CE04</t>
  </si>
  <si>
    <t>31201</t>
  </si>
  <si>
    <t>KONICA MINOLTA BUSINESS SOLUT.USA</t>
  </si>
  <si>
    <t>230</t>
  </si>
  <si>
    <t>329534564/65</t>
  </si>
  <si>
    <t>BBR7710D</t>
  </si>
  <si>
    <t>IMP 084-24</t>
  </si>
  <si>
    <t>SHP00229151</t>
  </si>
  <si>
    <t>2.00000</t>
  </si>
  <si>
    <t>2408-C162571</t>
  </si>
  <si>
    <t>32631</t>
  </si>
  <si>
    <t>5000003679</t>
  </si>
  <si>
    <t>420</t>
  </si>
  <si>
    <t>329558031</t>
  </si>
  <si>
    <t>BBR7715</t>
  </si>
  <si>
    <t>33112</t>
  </si>
  <si>
    <t>0000094I24</t>
  </si>
  <si>
    <t>5000003692</t>
  </si>
  <si>
    <t>2910</t>
  </si>
  <si>
    <t>DC2907</t>
  </si>
  <si>
    <t>BBR7721</t>
  </si>
  <si>
    <t>106-24 AG</t>
  </si>
  <si>
    <t>IMP 106-24 AG</t>
  </si>
  <si>
    <t>8.00000</t>
  </si>
  <si>
    <t>4PDX1370C</t>
  </si>
  <si>
    <t>0000088I24</t>
  </si>
  <si>
    <t>5000003698</t>
  </si>
  <si>
    <t>630</t>
  </si>
  <si>
    <t>329635988/89</t>
  </si>
  <si>
    <t>BBR7722C</t>
  </si>
  <si>
    <t>IMP 098-24 AG</t>
  </si>
  <si>
    <t>IMP 098-24</t>
  </si>
  <si>
    <t>2410-C164005</t>
  </si>
  <si>
    <t>5000003699</t>
  </si>
  <si>
    <t>130</t>
  </si>
  <si>
    <t>Z907284300</t>
  </si>
  <si>
    <t>UNIDADE CIS - LEITOR DE IMAGEM HN12H-X03</t>
  </si>
  <si>
    <t>329635992/93</t>
  </si>
  <si>
    <t>BBR7722D</t>
  </si>
  <si>
    <t>1.00000</t>
  </si>
  <si>
    <t>5000003722</t>
  </si>
  <si>
    <t>1600</t>
  </si>
  <si>
    <t>DC2935</t>
  </si>
  <si>
    <t>BBR7736</t>
  </si>
  <si>
    <t>50.00000</t>
  </si>
  <si>
    <t>2650</t>
  </si>
  <si>
    <t>0000076I24</t>
  </si>
  <si>
    <t>5000003756</t>
  </si>
  <si>
    <t>PR-6A</t>
  </si>
  <si>
    <t>150</t>
  </si>
  <si>
    <t>40AA88031</t>
  </si>
  <si>
    <t>SENSOR DE DETECÇÃO</t>
  </si>
  <si>
    <t>DC2980</t>
  </si>
  <si>
    <t>BBR7754</t>
  </si>
  <si>
    <t>IMP 088-24</t>
  </si>
  <si>
    <t>HKGS013267</t>
  </si>
  <si>
    <t>4PDX1321C</t>
  </si>
  <si>
    <t>33170</t>
  </si>
  <si>
    <t>200</t>
  </si>
  <si>
    <t>55VB83042</t>
  </si>
  <si>
    <t>LÂMPADA DE FUSÃO 3</t>
  </si>
  <si>
    <t>7.00000</t>
  </si>
  <si>
    <t>8539.21.90</t>
  </si>
  <si>
    <t>33157</t>
  </si>
  <si>
    <t>F-03</t>
  </si>
  <si>
    <t>490</t>
  </si>
  <si>
    <t>A0G6532800</t>
  </si>
  <si>
    <t>ENGRENAGEM 4 33 DENTES</t>
  </si>
  <si>
    <t>10.00000</t>
  </si>
  <si>
    <t>8483.40.90</t>
  </si>
  <si>
    <t>PR-7C</t>
  </si>
  <si>
    <t>680</t>
  </si>
  <si>
    <t>A1RF105700</t>
  </si>
  <si>
    <t>CHAPA DE MONTAGEM /6</t>
  </si>
  <si>
    <t>6.00000</t>
  </si>
  <si>
    <t>740</t>
  </si>
  <si>
    <t>A1RF415600</t>
  </si>
  <si>
    <t>ENGRENAGEM</t>
  </si>
  <si>
    <t>PR-11B</t>
  </si>
  <si>
    <t>1290</t>
  </si>
  <si>
    <t>A50U212600</t>
  </si>
  <si>
    <t>ROLAMENTO DE ESFERAS /15</t>
  </si>
  <si>
    <t>5.00000</t>
  </si>
  <si>
    <t>8482.10.90</t>
  </si>
  <si>
    <t>33175</t>
  </si>
  <si>
    <t>1420</t>
  </si>
  <si>
    <t>A50U757000</t>
  </si>
  <si>
    <t>ENGRENAGEM   /A 41/22D</t>
  </si>
  <si>
    <t>1490</t>
  </si>
  <si>
    <t>A50U890700</t>
  </si>
  <si>
    <t>EIXO</t>
  </si>
  <si>
    <t>8483.10.90</t>
  </si>
  <si>
    <t>1640</t>
  </si>
  <si>
    <t>40.00000</t>
  </si>
  <si>
    <t>1990</t>
  </si>
  <si>
    <t>A79J223101</t>
  </si>
  <si>
    <t>2210</t>
  </si>
  <si>
    <t>A92WR70411</t>
  </si>
  <si>
    <t>UNIDADE DE TRANSFERÊNCIA</t>
  </si>
  <si>
    <t>12.00000</t>
  </si>
  <si>
    <t>2230</t>
  </si>
  <si>
    <t>2550</t>
  </si>
  <si>
    <t>A9VPR71800</t>
  </si>
  <si>
    <t>CONJUNTO SUPERIOR DA GUIA</t>
  </si>
  <si>
    <t>2570</t>
  </si>
  <si>
    <t>A9VPR77800</t>
  </si>
  <si>
    <t>CONJUNTO REFLETOR</t>
  </si>
  <si>
    <t>2610</t>
  </si>
  <si>
    <t>AA2JH02N0L</t>
  </si>
  <si>
    <t>CONJUNTO DA PLACA</t>
  </si>
  <si>
    <t>33166</t>
  </si>
  <si>
    <t>2760</t>
  </si>
  <si>
    <t>5000003758</t>
  </si>
  <si>
    <t>110</t>
  </si>
  <si>
    <t>329823445</t>
  </si>
  <si>
    <t>BBR7755A</t>
  </si>
  <si>
    <t>210</t>
  </si>
  <si>
    <t>A03U553000</t>
  </si>
  <si>
    <t>LÂMINA DE LIMPEZA</t>
  </si>
  <si>
    <t>350</t>
  </si>
  <si>
    <t>400</t>
  </si>
  <si>
    <t>22.00000</t>
  </si>
  <si>
    <t>5000003759</t>
  </si>
  <si>
    <t>20</t>
  </si>
  <si>
    <t>329823240</t>
  </si>
  <si>
    <t>BBR7755B</t>
  </si>
  <si>
    <t>440</t>
  </si>
  <si>
    <t>450</t>
  </si>
  <si>
    <t>25.00000</t>
  </si>
  <si>
    <t>520</t>
  </si>
  <si>
    <t>A9CE816700</t>
  </si>
  <si>
    <t>ROLETE</t>
  </si>
  <si>
    <t>690</t>
  </si>
  <si>
    <t>5000003760</t>
  </si>
  <si>
    <t>329823244</t>
  </si>
  <si>
    <t>BBR7755C</t>
  </si>
  <si>
    <t>30</t>
  </si>
  <si>
    <t>70</t>
  </si>
  <si>
    <t>360</t>
  </si>
  <si>
    <t>5000003763</t>
  </si>
  <si>
    <t>90</t>
  </si>
  <si>
    <t>A0P0666301</t>
  </si>
  <si>
    <t>ENGRENAGEM 23D</t>
  </si>
  <si>
    <t>BBR7758</t>
  </si>
  <si>
    <t>2408-C162566</t>
  </si>
  <si>
    <t>5000003789</t>
  </si>
  <si>
    <t>170</t>
  </si>
  <si>
    <t>DC3019</t>
  </si>
  <si>
    <t>BBR7767</t>
  </si>
  <si>
    <t>56UA40600</t>
  </si>
  <si>
    <t>ROLO</t>
  </si>
  <si>
    <t>F-06</t>
  </si>
  <si>
    <t>9J06M10300</t>
  </si>
  <si>
    <t>MOTOR</t>
  </si>
  <si>
    <t>8501.10.19</t>
  </si>
  <si>
    <t>650</t>
  </si>
  <si>
    <t>A0G6714200</t>
  </si>
  <si>
    <t>ENGRENAGEM 18 DENTES</t>
  </si>
  <si>
    <t>11.00000</t>
  </si>
  <si>
    <t>33159</t>
  </si>
  <si>
    <t>880</t>
  </si>
  <si>
    <t>A50U629801</t>
  </si>
  <si>
    <t>Freio</t>
  </si>
  <si>
    <t>1650</t>
  </si>
  <si>
    <t>1710</t>
  </si>
  <si>
    <t>1890</t>
  </si>
  <si>
    <t>A5AW344100</t>
  </si>
  <si>
    <t>SUPORTE</t>
  </si>
  <si>
    <t>2350</t>
  </si>
  <si>
    <t>2360</t>
  </si>
  <si>
    <t>A79J226200</t>
  </si>
  <si>
    <t>ENGRENAGEM 23 D</t>
  </si>
  <si>
    <t>2370</t>
  </si>
  <si>
    <t>A79J226301</t>
  </si>
  <si>
    <t>ENGRENAGEM 32 D</t>
  </si>
  <si>
    <t>2840</t>
  </si>
  <si>
    <t>A9VE720300</t>
  </si>
  <si>
    <t>ROLO DE FUSÃO /1</t>
  </si>
  <si>
    <t>2850</t>
  </si>
  <si>
    <t>A9VE720500</t>
  </si>
  <si>
    <t>2870</t>
  </si>
  <si>
    <t>A9VEM33E00</t>
  </si>
  <si>
    <t>LÂMPADA DE AQUECEDOR DE ATERRAMENTO</t>
  </si>
  <si>
    <t>3090</t>
  </si>
  <si>
    <t>3130</t>
  </si>
  <si>
    <t>3270</t>
  </si>
  <si>
    <t>3340</t>
  </si>
  <si>
    <t>AC0C891400</t>
  </si>
  <si>
    <t>ENGRENAGEM /1 43/20T</t>
  </si>
  <si>
    <t>3350</t>
  </si>
  <si>
    <t>AC0CH09011</t>
  </si>
  <si>
    <t>PLACA DE CONTROLE</t>
  </si>
  <si>
    <t>0000079I24</t>
  </si>
  <si>
    <t>5000003790</t>
  </si>
  <si>
    <t>100</t>
  </si>
  <si>
    <t>329919618</t>
  </si>
  <si>
    <t>BBR7768A</t>
  </si>
  <si>
    <t>IMP 092-24</t>
  </si>
  <si>
    <t>SHP00238241</t>
  </si>
  <si>
    <t>2409-C163275</t>
  </si>
  <si>
    <t>140</t>
  </si>
  <si>
    <t>330</t>
  </si>
  <si>
    <t>9.00000</t>
  </si>
  <si>
    <t>590</t>
  </si>
  <si>
    <t>5000003791</t>
  </si>
  <si>
    <t>370</t>
  </si>
  <si>
    <t>329919359</t>
  </si>
  <si>
    <t>BBR7768B</t>
  </si>
  <si>
    <t>700</t>
  </si>
  <si>
    <t>5000003792</t>
  </si>
  <si>
    <t>10</t>
  </si>
  <si>
    <t>329919620/21</t>
  </si>
  <si>
    <t>BBR7768C</t>
  </si>
  <si>
    <t>320</t>
  </si>
  <si>
    <t>480</t>
  </si>
  <si>
    <t>580</t>
  </si>
  <si>
    <t>5000003801</t>
  </si>
  <si>
    <t>A0G6414000</t>
  </si>
  <si>
    <t>SEALING PART /R</t>
  </si>
  <si>
    <t>329942885</t>
  </si>
  <si>
    <t>BBR7777</t>
  </si>
  <si>
    <t>550</t>
  </si>
  <si>
    <t>A92EN10B00</t>
  </si>
  <si>
    <t>Sensor Relay harness</t>
  </si>
  <si>
    <t>5000003817</t>
  </si>
  <si>
    <t>220</t>
  </si>
  <si>
    <t>DC3053</t>
  </si>
  <si>
    <t>BBR7781</t>
  </si>
  <si>
    <t>310</t>
  </si>
  <si>
    <t>56UA77111</t>
  </si>
  <si>
    <t>ENGRENAGEM 60 DENTES</t>
  </si>
  <si>
    <t>PR-1A</t>
  </si>
  <si>
    <t>390</t>
  </si>
  <si>
    <t>65AA27320</t>
  </si>
  <si>
    <t>ALMOFADA</t>
  </si>
  <si>
    <t>F-02</t>
  </si>
  <si>
    <t>720</t>
  </si>
  <si>
    <t>A0G6531401</t>
  </si>
  <si>
    <t>ENGRENAGEM 1 41/47 DENTES</t>
  </si>
  <si>
    <t>730</t>
  </si>
  <si>
    <t>A0G6532700</t>
  </si>
  <si>
    <t>ENGRENAGEM 3 29 DENTES</t>
  </si>
  <si>
    <t>750</t>
  </si>
  <si>
    <t>840</t>
  </si>
  <si>
    <t>1030</t>
  </si>
  <si>
    <t>1810</t>
  </si>
  <si>
    <t>18.00000</t>
  </si>
  <si>
    <t>2110</t>
  </si>
  <si>
    <t>2170</t>
  </si>
  <si>
    <t>2480</t>
  </si>
  <si>
    <t>2790</t>
  </si>
  <si>
    <t>A5AWR71R11</t>
  </si>
  <si>
    <t>2960</t>
  </si>
  <si>
    <t>3200</t>
  </si>
  <si>
    <t>3220</t>
  </si>
  <si>
    <t>3530</t>
  </si>
  <si>
    <t>3540</t>
  </si>
  <si>
    <t>3680</t>
  </si>
  <si>
    <t>3710</t>
  </si>
  <si>
    <t>3880</t>
  </si>
  <si>
    <t>3930</t>
  </si>
  <si>
    <t>5000003818</t>
  </si>
  <si>
    <t>330027847</t>
  </si>
  <si>
    <t>BBR7782A</t>
  </si>
  <si>
    <t>340</t>
  </si>
  <si>
    <t>56UAR73900</t>
  </si>
  <si>
    <t>CONJUNTO DE ENGRENAGEM</t>
  </si>
  <si>
    <t>510</t>
  </si>
  <si>
    <t>640</t>
  </si>
  <si>
    <t>670</t>
  </si>
  <si>
    <t>5000003819</t>
  </si>
  <si>
    <t>330027855</t>
  </si>
  <si>
    <t>BBR7782B</t>
  </si>
  <si>
    <t>180</t>
  </si>
  <si>
    <t>5000003820</t>
  </si>
  <si>
    <t>40</t>
  </si>
  <si>
    <t>330027858</t>
  </si>
  <si>
    <t>BBR7782C</t>
  </si>
  <si>
    <t>260</t>
  </si>
  <si>
    <t>380</t>
  </si>
  <si>
    <t>600</t>
  </si>
  <si>
    <t>660</t>
  </si>
  <si>
    <t>5000003821</t>
  </si>
  <si>
    <t>330027863/64</t>
  </si>
  <si>
    <t>BBR7782D</t>
  </si>
  <si>
    <t>540</t>
  </si>
  <si>
    <t>5000003822</t>
  </si>
  <si>
    <t>330027870/71</t>
  </si>
  <si>
    <t>BBR7782E</t>
  </si>
  <si>
    <t>240</t>
  </si>
  <si>
    <t>5000003834</t>
  </si>
  <si>
    <t>500030320</t>
  </si>
  <si>
    <t>BBR7788A</t>
  </si>
  <si>
    <t>50</t>
  </si>
  <si>
    <t>60</t>
  </si>
  <si>
    <t>56UA77260</t>
  </si>
  <si>
    <t>ENGRENAGEM 48 DENTES</t>
  </si>
  <si>
    <t>A1RF505400</t>
  </si>
  <si>
    <t>ESPAÇADOR</t>
  </si>
  <si>
    <t>5000003838</t>
  </si>
  <si>
    <t>ENGRENAGEM 23 DENTES</t>
  </si>
  <si>
    <t>330091174</t>
  </si>
  <si>
    <t>BBR7790</t>
  </si>
  <si>
    <t>5000003845</t>
  </si>
  <si>
    <t>AD7ER72500</t>
  </si>
  <si>
    <t>CONJUNTO DE ROLO /1</t>
  </si>
  <si>
    <t>330130691</t>
  </si>
  <si>
    <t>BBR7793</t>
  </si>
  <si>
    <t>AD7ER72600</t>
  </si>
  <si>
    <t>CONJUNTO DE ROLO /2</t>
  </si>
  <si>
    <t>Nº Sequência do Embarque</t>
  </si>
  <si>
    <t>Nº do Pedido</t>
  </si>
  <si>
    <t>Data Pedido</t>
  </si>
  <si>
    <t>Centro</t>
  </si>
  <si>
    <t>Depósito</t>
  </si>
  <si>
    <t>Pos.Dep.MM</t>
  </si>
  <si>
    <t>Pos.Dep.WM</t>
  </si>
  <si>
    <t>Cod. Fornecedor</t>
  </si>
  <si>
    <t>Nome Fornecedor</t>
  </si>
  <si>
    <t>Item</t>
  </si>
  <si>
    <t>Saldo Pedido</t>
  </si>
  <si>
    <t>UMP</t>
  </si>
  <si>
    <t>Material</t>
  </si>
  <si>
    <t>Texto Breve</t>
  </si>
  <si>
    <t>Qtde Pedido</t>
  </si>
  <si>
    <t>Vl. Total Pedido</t>
  </si>
  <si>
    <t>Moeda</t>
  </si>
  <si>
    <t>Data de Remessa</t>
  </si>
  <si>
    <t>Data Estatística</t>
  </si>
  <si>
    <t>Sua Referência</t>
  </si>
  <si>
    <t>Nossa Referência</t>
  </si>
  <si>
    <t>Embarque</t>
  </si>
  <si>
    <t>Meio de Transporte</t>
  </si>
  <si>
    <t>Meio Embarque</t>
  </si>
  <si>
    <t>Nº do Conhecimento</t>
  </si>
  <si>
    <t>Data do BL</t>
  </si>
  <si>
    <t>Data de Chegada</t>
  </si>
  <si>
    <t>Declaração</t>
  </si>
  <si>
    <t>Dt.Registro</t>
  </si>
  <si>
    <t>Dt.Desembaraço</t>
  </si>
  <si>
    <t>Qtde. Desembarcada</t>
  </si>
  <si>
    <t>Referência de Fatura</t>
  </si>
  <si>
    <t>Data da Fatura</t>
  </si>
  <si>
    <t>Valor da Fatura</t>
  </si>
  <si>
    <t>Data Prev.Entrada</t>
  </si>
  <si>
    <t>Dt. Recebimento</t>
  </si>
  <si>
    <t>Recebimento</t>
  </si>
  <si>
    <t>Peso Líquido</t>
  </si>
  <si>
    <t>Un</t>
  </si>
  <si>
    <t>Cód.NCM</t>
  </si>
  <si>
    <t>Fabricante</t>
  </si>
  <si>
    <t>Num.conversão</t>
  </si>
  <si>
    <t>Qtd.Ped.UMB</t>
  </si>
  <si>
    <t>TipoMat</t>
  </si>
  <si>
    <t>Data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</si>
</sst>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7"/>
  <sheetViews>
    <sheetView tabSelected="1" topLeftCell="AH1" workbookViewId="0">
      <selection activeCell="AQ9" sqref="AQ9"/>
    </sheetView>
  </sheetViews>
  <sheetFormatPr defaultRowHeight="12.75" x14ac:dyDescent="0.2"/>
  <cols>
    <col min="1" max="1" width="12" bestFit="1" customWidth="1"/>
    <col min="2" max="2" width="14" bestFit="1" customWidth="1"/>
    <col min="3" max="3" width="13" bestFit="1" customWidth="1"/>
    <col min="4" max="4" width="8" bestFit="1" customWidth="1"/>
    <col min="5" max="5" width="10" bestFit="1" customWidth="1"/>
    <col min="6" max="7" width="12" bestFit="1" customWidth="1"/>
    <col min="8" max="8" width="7" bestFit="1" customWidth="1"/>
    <col min="9" max="9" width="35" bestFit="1" customWidth="1"/>
    <col min="10" max="10" width="6" bestFit="1" customWidth="1"/>
    <col min="11" max="11" width="14" bestFit="1" customWidth="1"/>
    <col min="12" max="14" width="5" bestFit="1" customWidth="1"/>
    <col min="15" max="15" width="12" bestFit="1" customWidth="1"/>
    <col min="16" max="16" width="42" bestFit="1" customWidth="1"/>
    <col min="17" max="17" width="13" bestFit="1" customWidth="1"/>
    <col min="18" max="18" width="18" bestFit="1" customWidth="1"/>
    <col min="19" max="19" width="7" bestFit="1" customWidth="1"/>
    <col min="20" max="20" width="17" bestFit="1" customWidth="1"/>
    <col min="21" max="21" width="18" bestFit="1" customWidth="1"/>
    <col min="22" max="22" width="16" bestFit="1" customWidth="1"/>
    <col min="23" max="23" width="18" bestFit="1" customWidth="1"/>
    <col min="24" max="24" width="15" bestFit="1" customWidth="1"/>
    <col min="25" max="25" width="12" bestFit="1" customWidth="1"/>
    <col min="26" max="26" width="15" bestFit="1" customWidth="1"/>
    <col min="27" max="27" width="20" bestFit="1" customWidth="1"/>
    <col min="28" max="28" width="13" bestFit="1" customWidth="1"/>
    <col min="29" max="29" width="17" bestFit="1" customWidth="1"/>
    <col min="30" max="30" width="12" bestFit="1" customWidth="1"/>
    <col min="31" max="31" width="13" bestFit="1" customWidth="1"/>
    <col min="32" max="32" width="16" bestFit="1" customWidth="1"/>
    <col min="33" max="33" width="20" bestFit="1" customWidth="1"/>
    <col min="34" max="34" width="22" bestFit="1" customWidth="1"/>
    <col min="35" max="35" width="16" bestFit="1" customWidth="1"/>
    <col min="36" max="36" width="17" bestFit="1" customWidth="1"/>
    <col min="37" max="37" width="19" bestFit="1" customWidth="1"/>
    <col min="38" max="38" width="17" bestFit="1" customWidth="1"/>
    <col min="39" max="39" width="13" bestFit="1" customWidth="1"/>
    <col min="40" max="40" width="14" bestFit="1" customWidth="1"/>
    <col min="41" max="41" width="4" bestFit="1" customWidth="1"/>
    <col min="42" max="43" width="12" bestFit="1" customWidth="1"/>
    <col min="44" max="44" width="9" bestFit="1" customWidth="1"/>
    <col min="45" max="45" width="13" bestFit="1" customWidth="1"/>
    <col min="46" max="46" width="9" bestFit="1" customWidth="1"/>
    <col min="47" max="47" width="10.140625" style="9" bestFit="1" customWidth="1"/>
  </cols>
  <sheetData>
    <row r="1" spans="1:47" ht="38.25" x14ac:dyDescent="0.2">
      <c r="A1" s="7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7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380</v>
      </c>
      <c r="N1" s="1" t="s">
        <v>380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  <c r="U1" s="1" t="s">
        <v>387</v>
      </c>
      <c r="V1" s="1" t="s">
        <v>388</v>
      </c>
      <c r="W1" s="1" t="s">
        <v>389</v>
      </c>
      <c r="X1" s="1" t="s">
        <v>390</v>
      </c>
      <c r="Y1" s="7" t="s">
        <v>391</v>
      </c>
      <c r="Z1" s="1" t="s">
        <v>392</v>
      </c>
      <c r="AA1" s="1" t="s">
        <v>393</v>
      </c>
      <c r="AB1" s="1" t="s">
        <v>394</v>
      </c>
      <c r="AC1" s="1" t="s">
        <v>395</v>
      </c>
      <c r="AD1" s="1" t="s">
        <v>396</v>
      </c>
      <c r="AE1" s="1" t="s">
        <v>397</v>
      </c>
      <c r="AF1" s="1" t="s">
        <v>398</v>
      </c>
      <c r="AG1" s="1" t="s">
        <v>399</v>
      </c>
      <c r="AH1" s="1" t="s">
        <v>400</v>
      </c>
      <c r="AI1" s="1" t="s">
        <v>401</v>
      </c>
      <c r="AJ1" s="1" t="s">
        <v>402</v>
      </c>
      <c r="AK1" s="1" t="s">
        <v>403</v>
      </c>
      <c r="AL1" s="1" t="s">
        <v>404</v>
      </c>
      <c r="AM1" s="1" t="s">
        <v>405</v>
      </c>
      <c r="AN1" s="1" t="s">
        <v>406</v>
      </c>
      <c r="AO1" s="1" t="s">
        <v>407</v>
      </c>
      <c r="AP1" s="1" t="s">
        <v>408</v>
      </c>
      <c r="AQ1" s="1" t="s">
        <v>409</v>
      </c>
      <c r="AR1" s="7" t="s">
        <v>410</v>
      </c>
      <c r="AS1" s="1" t="s">
        <v>411</v>
      </c>
      <c r="AT1" s="1" t="s">
        <v>412</v>
      </c>
      <c r="AU1" s="8" t="s">
        <v>413</v>
      </c>
    </row>
    <row r="2" spans="1:47" x14ac:dyDescent="0.2">
      <c r="A2" t="s">
        <v>0</v>
      </c>
      <c r="B2" t="s">
        <v>1</v>
      </c>
      <c r="C2" s="2">
        <v>45520</v>
      </c>
      <c r="D2" t="s">
        <v>0</v>
      </c>
      <c r="E2" t="s">
        <v>2</v>
      </c>
      <c r="F2" t="s">
        <v>0</v>
      </c>
      <c r="G2" t="s">
        <v>0</v>
      </c>
      <c r="H2" t="s">
        <v>3</v>
      </c>
      <c r="I2" t="s">
        <v>4</v>
      </c>
      <c r="J2" t="s">
        <v>5</v>
      </c>
      <c r="K2" s="3">
        <v>2</v>
      </c>
      <c r="L2" t="s">
        <v>0</v>
      </c>
      <c r="M2" t="s">
        <v>0</v>
      </c>
      <c r="N2" t="s">
        <v>0</v>
      </c>
      <c r="O2" t="s">
        <v>6</v>
      </c>
      <c r="P2" t="s">
        <v>7</v>
      </c>
      <c r="Q2" s="3">
        <v>2</v>
      </c>
      <c r="R2" s="4">
        <v>41.48</v>
      </c>
      <c r="S2" t="s">
        <v>8</v>
      </c>
      <c r="T2" s="2">
        <v>45647</v>
      </c>
      <c r="U2" s="2">
        <v>45647</v>
      </c>
      <c r="V2" t="s">
        <v>9</v>
      </c>
      <c r="W2" t="s">
        <v>10</v>
      </c>
      <c r="X2" t="s">
        <v>0</v>
      </c>
      <c r="Y2" t="s">
        <v>0</v>
      </c>
      <c r="Z2" t="s">
        <v>0</v>
      </c>
      <c r="AA2" t="s">
        <v>0</v>
      </c>
      <c r="AB2" s="2"/>
      <c r="AC2" s="2"/>
      <c r="AD2" t="s">
        <v>0</v>
      </c>
      <c r="AE2" s="2"/>
      <c r="AF2" s="2"/>
      <c r="AG2" t="s">
        <v>11</v>
      </c>
      <c r="AH2" t="s">
        <v>0</v>
      </c>
      <c r="AI2" s="2"/>
      <c r="AJ2" s="4">
        <v>0</v>
      </c>
      <c r="AK2" s="2"/>
      <c r="AL2" s="2"/>
      <c r="AM2" t="s">
        <v>12</v>
      </c>
      <c r="AN2" s="5">
        <v>0</v>
      </c>
      <c r="AO2" t="s">
        <v>0</v>
      </c>
      <c r="AP2" t="s">
        <v>0</v>
      </c>
      <c r="AQ2" t="s">
        <v>0</v>
      </c>
      <c r="AR2" s="6">
        <v>1</v>
      </c>
      <c r="AS2" s="3">
        <v>2</v>
      </c>
      <c r="AT2" t="s">
        <v>13</v>
      </c>
      <c r="AU2" s="9">
        <f>IF(AK2="",T2,AK2)</f>
        <v>45647</v>
      </c>
    </row>
    <row r="3" spans="1:47" x14ac:dyDescent="0.2">
      <c r="A3" t="s">
        <v>0</v>
      </c>
      <c r="B3" t="s">
        <v>14</v>
      </c>
      <c r="C3" s="2">
        <v>45582</v>
      </c>
      <c r="D3" t="s">
        <v>0</v>
      </c>
      <c r="E3" t="s">
        <v>15</v>
      </c>
      <c r="F3" t="s">
        <v>0</v>
      </c>
      <c r="G3" t="s">
        <v>0</v>
      </c>
      <c r="H3" t="s">
        <v>3</v>
      </c>
      <c r="I3" t="s">
        <v>4</v>
      </c>
      <c r="J3" t="s">
        <v>16</v>
      </c>
      <c r="K3" s="3">
        <v>2</v>
      </c>
      <c r="L3" t="s">
        <v>0</v>
      </c>
      <c r="M3" t="s">
        <v>0</v>
      </c>
      <c r="N3" t="s">
        <v>0</v>
      </c>
      <c r="O3" t="s">
        <v>17</v>
      </c>
      <c r="P3" t="s">
        <v>18</v>
      </c>
      <c r="Q3" s="3">
        <v>2</v>
      </c>
      <c r="R3" s="4">
        <v>759.16</v>
      </c>
      <c r="S3" t="s">
        <v>8</v>
      </c>
      <c r="T3" s="2">
        <v>45676</v>
      </c>
      <c r="U3" s="2">
        <v>45676</v>
      </c>
      <c r="V3" t="s">
        <v>19</v>
      </c>
      <c r="W3" t="s">
        <v>20</v>
      </c>
      <c r="X3" t="s">
        <v>0</v>
      </c>
      <c r="Y3" t="s">
        <v>0</v>
      </c>
      <c r="Z3" t="s">
        <v>0</v>
      </c>
      <c r="AA3" t="s">
        <v>0</v>
      </c>
      <c r="AB3" s="2"/>
      <c r="AC3" s="2"/>
      <c r="AD3" t="s">
        <v>0</v>
      </c>
      <c r="AE3" s="2"/>
      <c r="AF3" s="2"/>
      <c r="AG3" t="s">
        <v>11</v>
      </c>
      <c r="AH3" t="s">
        <v>0</v>
      </c>
      <c r="AI3" s="2"/>
      <c r="AJ3" s="4">
        <v>0</v>
      </c>
      <c r="AK3" s="2"/>
      <c r="AL3" s="2"/>
      <c r="AM3" t="s">
        <v>12</v>
      </c>
      <c r="AN3" s="5">
        <v>0</v>
      </c>
      <c r="AO3" t="s">
        <v>0</v>
      </c>
      <c r="AP3" t="s">
        <v>0</v>
      </c>
      <c r="AQ3" t="s">
        <v>0</v>
      </c>
      <c r="AR3" s="6">
        <v>1</v>
      </c>
      <c r="AS3" s="3">
        <v>2</v>
      </c>
      <c r="AT3" t="s">
        <v>13</v>
      </c>
      <c r="AU3" s="9">
        <f t="shared" ref="AU3:AU66" si="0">IF(AK3="",T3,AK3)</f>
        <v>45676</v>
      </c>
    </row>
    <row r="4" spans="1:47" x14ac:dyDescent="0.2">
      <c r="A4" t="s">
        <v>21</v>
      </c>
      <c r="B4" t="s">
        <v>22</v>
      </c>
      <c r="C4" s="2">
        <v>45427</v>
      </c>
      <c r="D4" t="s">
        <v>23</v>
      </c>
      <c r="E4" t="s">
        <v>24</v>
      </c>
      <c r="F4" t="s">
        <v>25</v>
      </c>
      <c r="G4" t="s">
        <v>0</v>
      </c>
      <c r="H4" t="s">
        <v>3</v>
      </c>
      <c r="I4" t="s">
        <v>4</v>
      </c>
      <c r="J4" t="s">
        <v>26</v>
      </c>
      <c r="K4" s="3">
        <v>0</v>
      </c>
      <c r="L4" t="s">
        <v>27</v>
      </c>
      <c r="M4" t="s">
        <v>27</v>
      </c>
      <c r="N4" t="s">
        <v>27</v>
      </c>
      <c r="O4" t="s">
        <v>28</v>
      </c>
      <c r="P4" t="s">
        <v>29</v>
      </c>
      <c r="Q4" s="3">
        <v>20</v>
      </c>
      <c r="R4" s="4">
        <v>4266.3999999999996</v>
      </c>
      <c r="S4" t="s">
        <v>8</v>
      </c>
      <c r="T4" s="2">
        <v>45601</v>
      </c>
      <c r="U4" s="2">
        <v>45601</v>
      </c>
      <c r="V4" t="s">
        <v>30</v>
      </c>
      <c r="W4" t="s">
        <v>31</v>
      </c>
      <c r="X4" t="s">
        <v>32</v>
      </c>
      <c r="Y4" t="s">
        <v>33</v>
      </c>
      <c r="Z4" t="s">
        <v>34</v>
      </c>
      <c r="AA4" t="s">
        <v>35</v>
      </c>
      <c r="AB4" s="2">
        <v>45577</v>
      </c>
      <c r="AC4" s="2">
        <v>45612</v>
      </c>
      <c r="AD4" t="s">
        <v>0</v>
      </c>
      <c r="AE4" s="2">
        <v>45588</v>
      </c>
      <c r="AF4" s="2"/>
      <c r="AG4" t="s">
        <v>36</v>
      </c>
      <c r="AH4" t="s">
        <v>37</v>
      </c>
      <c r="AI4" s="2">
        <v>45577</v>
      </c>
      <c r="AJ4" s="4">
        <v>4266.3999999999996</v>
      </c>
      <c r="AK4" s="2">
        <v>45622</v>
      </c>
      <c r="AL4" s="2"/>
      <c r="AM4" t="s">
        <v>12</v>
      </c>
      <c r="AN4" s="5">
        <v>55.038311</v>
      </c>
      <c r="AO4" t="s">
        <v>38</v>
      </c>
      <c r="AP4" t="s">
        <v>39</v>
      </c>
      <c r="AQ4" t="s">
        <v>40</v>
      </c>
      <c r="AR4" s="6">
        <v>1</v>
      </c>
      <c r="AS4" s="3">
        <v>20</v>
      </c>
      <c r="AT4" t="s">
        <v>13</v>
      </c>
      <c r="AU4" s="9">
        <f t="shared" si="0"/>
        <v>45622</v>
      </c>
    </row>
    <row r="5" spans="1:47" x14ac:dyDescent="0.2">
      <c r="A5" t="s">
        <v>21</v>
      </c>
      <c r="B5" t="s">
        <v>22</v>
      </c>
      <c r="C5" s="2">
        <v>45427</v>
      </c>
      <c r="D5" t="s">
        <v>23</v>
      </c>
      <c r="E5" t="s">
        <v>24</v>
      </c>
      <c r="F5" t="s">
        <v>0</v>
      </c>
      <c r="G5" t="s">
        <v>0</v>
      </c>
      <c r="H5" t="s">
        <v>3</v>
      </c>
      <c r="I5" t="s">
        <v>4</v>
      </c>
      <c r="J5" t="s">
        <v>41</v>
      </c>
      <c r="K5" s="3">
        <v>0</v>
      </c>
      <c r="L5" t="s">
        <v>27</v>
      </c>
      <c r="M5" t="s">
        <v>27</v>
      </c>
      <c r="N5" t="s">
        <v>27</v>
      </c>
      <c r="O5" t="s">
        <v>42</v>
      </c>
      <c r="P5" t="s">
        <v>43</v>
      </c>
      <c r="Q5" s="3">
        <v>4</v>
      </c>
      <c r="R5" s="4">
        <v>899.84</v>
      </c>
      <c r="S5" t="s">
        <v>8</v>
      </c>
      <c r="T5" s="2">
        <v>45601</v>
      </c>
      <c r="U5" s="2">
        <v>45601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s="2">
        <v>45577</v>
      </c>
      <c r="AC5" s="2">
        <v>45612</v>
      </c>
      <c r="AD5" t="s">
        <v>0</v>
      </c>
      <c r="AE5" s="2">
        <v>45588</v>
      </c>
      <c r="AF5" s="2"/>
      <c r="AG5" t="s">
        <v>44</v>
      </c>
      <c r="AH5" t="s">
        <v>37</v>
      </c>
      <c r="AI5" s="2">
        <v>45577</v>
      </c>
      <c r="AJ5" s="4">
        <v>899.84</v>
      </c>
      <c r="AK5" s="2">
        <v>45622</v>
      </c>
      <c r="AL5" s="2"/>
      <c r="AM5" t="s">
        <v>12</v>
      </c>
      <c r="AN5" s="5">
        <v>11.608305</v>
      </c>
      <c r="AO5" t="s">
        <v>38</v>
      </c>
      <c r="AP5" t="s">
        <v>45</v>
      </c>
      <c r="AQ5" t="s">
        <v>40</v>
      </c>
      <c r="AR5" s="6">
        <v>1</v>
      </c>
      <c r="AS5" s="3">
        <v>4</v>
      </c>
      <c r="AT5" t="s">
        <v>13</v>
      </c>
      <c r="AU5" s="9">
        <f t="shared" si="0"/>
        <v>45622</v>
      </c>
    </row>
    <row r="6" spans="1:47" x14ac:dyDescent="0.2">
      <c r="A6" t="s">
        <v>46</v>
      </c>
      <c r="B6" t="s">
        <v>22</v>
      </c>
      <c r="C6" s="2">
        <v>45427</v>
      </c>
      <c r="D6" t="s">
        <v>23</v>
      </c>
      <c r="E6" t="s">
        <v>24</v>
      </c>
      <c r="F6" t="s">
        <v>0</v>
      </c>
      <c r="G6" t="s">
        <v>0</v>
      </c>
      <c r="H6" t="s">
        <v>3</v>
      </c>
      <c r="I6" t="s">
        <v>4</v>
      </c>
      <c r="J6" t="s">
        <v>47</v>
      </c>
      <c r="K6" s="3">
        <v>0</v>
      </c>
      <c r="L6" t="s">
        <v>27</v>
      </c>
      <c r="M6" t="s">
        <v>27</v>
      </c>
      <c r="N6" t="s">
        <v>27</v>
      </c>
      <c r="O6" t="s">
        <v>42</v>
      </c>
      <c r="P6" t="s">
        <v>43</v>
      </c>
      <c r="Q6" s="3">
        <v>4</v>
      </c>
      <c r="R6" s="4">
        <v>899.84</v>
      </c>
      <c r="S6" t="s">
        <v>8</v>
      </c>
      <c r="T6" s="2">
        <v>45631</v>
      </c>
      <c r="U6" s="2">
        <v>45631</v>
      </c>
      <c r="V6" t="s">
        <v>30</v>
      </c>
      <c r="W6" t="s">
        <v>31</v>
      </c>
      <c r="X6" t="s">
        <v>48</v>
      </c>
      <c r="Y6" t="s">
        <v>33</v>
      </c>
      <c r="Z6" t="s">
        <v>34</v>
      </c>
      <c r="AA6" t="s">
        <v>49</v>
      </c>
      <c r="AB6" s="2">
        <v>45608</v>
      </c>
      <c r="AC6" s="2">
        <v>45641</v>
      </c>
      <c r="AD6" t="s">
        <v>0</v>
      </c>
      <c r="AE6" s="2"/>
      <c r="AF6" s="2"/>
      <c r="AG6" t="s">
        <v>44</v>
      </c>
      <c r="AH6" t="s">
        <v>50</v>
      </c>
      <c r="AI6" s="2">
        <v>45586</v>
      </c>
      <c r="AJ6" s="4">
        <v>899.84</v>
      </c>
      <c r="AK6" s="2">
        <v>45662</v>
      </c>
      <c r="AL6" s="2"/>
      <c r="AM6" t="s">
        <v>12</v>
      </c>
      <c r="AN6" s="5">
        <v>7.2807170000000001</v>
      </c>
      <c r="AO6" t="s">
        <v>38</v>
      </c>
      <c r="AP6" t="s">
        <v>45</v>
      </c>
      <c r="AQ6" t="s">
        <v>40</v>
      </c>
      <c r="AR6" s="6">
        <v>1</v>
      </c>
      <c r="AS6" s="3">
        <v>4</v>
      </c>
      <c r="AT6" t="s">
        <v>13</v>
      </c>
      <c r="AU6" s="9">
        <f t="shared" si="0"/>
        <v>45662</v>
      </c>
    </row>
    <row r="7" spans="1:47" x14ac:dyDescent="0.2">
      <c r="A7" t="s">
        <v>21</v>
      </c>
      <c r="B7" t="s">
        <v>22</v>
      </c>
      <c r="C7" s="2">
        <v>45427</v>
      </c>
      <c r="D7" t="s">
        <v>23</v>
      </c>
      <c r="E7" t="s">
        <v>24</v>
      </c>
      <c r="F7" t="s">
        <v>25</v>
      </c>
      <c r="G7" t="s">
        <v>0</v>
      </c>
      <c r="H7" t="s">
        <v>3</v>
      </c>
      <c r="I7" t="s">
        <v>4</v>
      </c>
      <c r="J7" t="s">
        <v>51</v>
      </c>
      <c r="K7" s="3">
        <v>0</v>
      </c>
      <c r="L7" t="s">
        <v>27</v>
      </c>
      <c r="M7" t="s">
        <v>27</v>
      </c>
      <c r="N7" t="s">
        <v>27</v>
      </c>
      <c r="O7" t="s">
        <v>28</v>
      </c>
      <c r="P7" t="s">
        <v>29</v>
      </c>
      <c r="Q7" s="3">
        <v>15</v>
      </c>
      <c r="R7" s="4">
        <v>3199.8</v>
      </c>
      <c r="S7" t="s">
        <v>8</v>
      </c>
      <c r="T7" s="2">
        <v>45638</v>
      </c>
      <c r="U7" s="2">
        <v>45638</v>
      </c>
      <c r="V7" t="s">
        <v>30</v>
      </c>
      <c r="W7" t="s">
        <v>31</v>
      </c>
      <c r="X7" t="s">
        <v>32</v>
      </c>
      <c r="Y7" t="s">
        <v>33</v>
      </c>
      <c r="Z7" t="s">
        <v>34</v>
      </c>
      <c r="AA7" t="s">
        <v>35</v>
      </c>
      <c r="AB7" s="2">
        <v>45577</v>
      </c>
      <c r="AC7" s="2">
        <v>45612</v>
      </c>
      <c r="AD7" t="s">
        <v>0</v>
      </c>
      <c r="AE7" s="2">
        <v>45588</v>
      </c>
      <c r="AF7" s="2"/>
      <c r="AG7" t="s">
        <v>52</v>
      </c>
      <c r="AH7" t="s">
        <v>37</v>
      </c>
      <c r="AI7" s="2">
        <v>45577</v>
      </c>
      <c r="AJ7" s="4">
        <v>3199.8</v>
      </c>
      <c r="AK7" s="2">
        <v>45622</v>
      </c>
      <c r="AL7" s="2"/>
      <c r="AM7" t="s">
        <v>12</v>
      </c>
      <c r="AN7" s="5">
        <v>41.278734</v>
      </c>
      <c r="AO7" t="s">
        <v>38</v>
      </c>
      <c r="AP7" t="s">
        <v>39</v>
      </c>
      <c r="AQ7" t="s">
        <v>40</v>
      </c>
      <c r="AR7" s="6">
        <v>1</v>
      </c>
      <c r="AS7" s="3">
        <v>15</v>
      </c>
      <c r="AT7" t="s">
        <v>13</v>
      </c>
      <c r="AU7" s="9">
        <f t="shared" si="0"/>
        <v>45622</v>
      </c>
    </row>
    <row r="8" spans="1:47" x14ac:dyDescent="0.2">
      <c r="A8" t="s">
        <v>21</v>
      </c>
      <c r="B8" t="s">
        <v>22</v>
      </c>
      <c r="C8" s="2">
        <v>45427</v>
      </c>
      <c r="D8" t="s">
        <v>23</v>
      </c>
      <c r="E8" t="s">
        <v>24</v>
      </c>
      <c r="F8" t="s">
        <v>0</v>
      </c>
      <c r="G8" t="s">
        <v>0</v>
      </c>
      <c r="H8" t="s">
        <v>3</v>
      </c>
      <c r="I8" t="s">
        <v>4</v>
      </c>
      <c r="J8" t="s">
        <v>53</v>
      </c>
      <c r="K8" s="3">
        <v>0</v>
      </c>
      <c r="L8" t="s">
        <v>27</v>
      </c>
      <c r="M8" t="s">
        <v>27</v>
      </c>
      <c r="N8" t="s">
        <v>27</v>
      </c>
      <c r="O8" t="s">
        <v>54</v>
      </c>
      <c r="P8" t="s">
        <v>55</v>
      </c>
      <c r="Q8" s="3">
        <v>3</v>
      </c>
      <c r="R8" s="4">
        <v>674.88</v>
      </c>
      <c r="S8" t="s">
        <v>8</v>
      </c>
      <c r="T8" s="2">
        <v>45547</v>
      </c>
      <c r="U8" s="2">
        <v>45547</v>
      </c>
      <c r="V8" t="s">
        <v>30</v>
      </c>
      <c r="W8" t="s">
        <v>31</v>
      </c>
      <c r="X8" t="s">
        <v>32</v>
      </c>
      <c r="Y8" t="s">
        <v>33</v>
      </c>
      <c r="Z8" t="s">
        <v>34</v>
      </c>
      <c r="AA8" t="s">
        <v>35</v>
      </c>
      <c r="AB8" s="2">
        <v>45577</v>
      </c>
      <c r="AC8" s="2">
        <v>45612</v>
      </c>
      <c r="AD8" t="s">
        <v>0</v>
      </c>
      <c r="AE8" s="2">
        <v>45588</v>
      </c>
      <c r="AF8" s="2"/>
      <c r="AG8" t="s">
        <v>56</v>
      </c>
      <c r="AH8" t="s">
        <v>37</v>
      </c>
      <c r="AI8" s="2">
        <v>45577</v>
      </c>
      <c r="AJ8" s="4">
        <v>674.88</v>
      </c>
      <c r="AK8" s="2">
        <v>45622</v>
      </c>
      <c r="AL8" s="2"/>
      <c r="AM8" t="s">
        <v>12</v>
      </c>
      <c r="AN8" s="5">
        <v>8.7062290000000004</v>
      </c>
      <c r="AO8" t="s">
        <v>38</v>
      </c>
      <c r="AP8" t="s">
        <v>45</v>
      </c>
      <c r="AQ8" t="s">
        <v>40</v>
      </c>
      <c r="AR8" s="6">
        <v>1</v>
      </c>
      <c r="AS8" s="3">
        <v>3</v>
      </c>
      <c r="AT8" t="s">
        <v>13</v>
      </c>
      <c r="AU8" s="9">
        <f t="shared" si="0"/>
        <v>45622</v>
      </c>
    </row>
    <row r="9" spans="1:47" x14ac:dyDescent="0.2">
      <c r="A9" t="s">
        <v>57</v>
      </c>
      <c r="B9" t="s">
        <v>58</v>
      </c>
      <c r="C9" s="2">
        <v>45427</v>
      </c>
      <c r="D9" t="s">
        <v>59</v>
      </c>
      <c r="E9" t="s">
        <v>24</v>
      </c>
      <c r="F9" t="s">
        <v>0</v>
      </c>
      <c r="G9" t="s">
        <v>0</v>
      </c>
      <c r="H9" t="s">
        <v>60</v>
      </c>
      <c r="I9" t="s">
        <v>61</v>
      </c>
      <c r="J9" t="s">
        <v>62</v>
      </c>
      <c r="K9" s="3">
        <v>0</v>
      </c>
      <c r="L9" t="s">
        <v>27</v>
      </c>
      <c r="M9" t="s">
        <v>27</v>
      </c>
      <c r="N9" t="s">
        <v>27</v>
      </c>
      <c r="O9" t="s">
        <v>42</v>
      </c>
      <c r="P9" t="s">
        <v>43</v>
      </c>
      <c r="Q9" s="3">
        <v>2</v>
      </c>
      <c r="R9" s="4">
        <v>438.52</v>
      </c>
      <c r="S9" t="s">
        <v>8</v>
      </c>
      <c r="T9" s="2">
        <v>45575</v>
      </c>
      <c r="U9" s="2">
        <v>45575</v>
      </c>
      <c r="V9" t="s">
        <v>63</v>
      </c>
      <c r="W9" t="s">
        <v>64</v>
      </c>
      <c r="X9" t="s">
        <v>65</v>
      </c>
      <c r="Y9" t="s">
        <v>33</v>
      </c>
      <c r="Z9" t="s">
        <v>34</v>
      </c>
      <c r="AA9" t="s">
        <v>66</v>
      </c>
      <c r="AB9" s="2">
        <v>45597</v>
      </c>
      <c r="AC9" s="2">
        <v>45620</v>
      </c>
      <c r="AD9" t="s">
        <v>0</v>
      </c>
      <c r="AE9" s="2">
        <v>45607</v>
      </c>
      <c r="AF9" s="2"/>
      <c r="AG9" t="s">
        <v>67</v>
      </c>
      <c r="AH9" t="s">
        <v>68</v>
      </c>
      <c r="AI9" s="2">
        <v>45533</v>
      </c>
      <c r="AJ9" s="4">
        <v>438.52</v>
      </c>
      <c r="AK9" s="2">
        <v>45631</v>
      </c>
      <c r="AL9" s="2"/>
      <c r="AM9" t="s">
        <v>12</v>
      </c>
      <c r="AN9" s="5">
        <v>6.6040219999999996</v>
      </c>
      <c r="AO9" t="s">
        <v>38</v>
      </c>
      <c r="AP9" t="s">
        <v>45</v>
      </c>
      <c r="AQ9" t="s">
        <v>69</v>
      </c>
      <c r="AR9" s="6">
        <v>1</v>
      </c>
      <c r="AS9" s="3">
        <v>2</v>
      </c>
      <c r="AT9" t="s">
        <v>13</v>
      </c>
      <c r="AU9" s="9">
        <f t="shared" si="0"/>
        <v>45631</v>
      </c>
    </row>
    <row r="10" spans="1:47" x14ac:dyDescent="0.2">
      <c r="A10" t="s">
        <v>57</v>
      </c>
      <c r="B10" t="s">
        <v>70</v>
      </c>
      <c r="C10" s="2">
        <v>45434</v>
      </c>
      <c r="D10" t="s">
        <v>59</v>
      </c>
      <c r="E10" t="s">
        <v>24</v>
      </c>
      <c r="F10" t="s">
        <v>0</v>
      </c>
      <c r="G10" t="s">
        <v>0</v>
      </c>
      <c r="H10" t="s">
        <v>60</v>
      </c>
      <c r="I10" t="s">
        <v>61</v>
      </c>
      <c r="J10" t="s">
        <v>71</v>
      </c>
      <c r="K10" s="3">
        <v>0</v>
      </c>
      <c r="L10" t="s">
        <v>27</v>
      </c>
      <c r="M10" t="s">
        <v>27</v>
      </c>
      <c r="N10" t="s">
        <v>27</v>
      </c>
      <c r="O10" t="s">
        <v>54</v>
      </c>
      <c r="P10" t="s">
        <v>55</v>
      </c>
      <c r="Q10" s="3">
        <v>4</v>
      </c>
      <c r="R10" s="4">
        <v>877.04</v>
      </c>
      <c r="S10" t="s">
        <v>8</v>
      </c>
      <c r="T10" s="2">
        <v>45585</v>
      </c>
      <c r="U10" s="2">
        <v>45585</v>
      </c>
      <c r="V10" t="s">
        <v>72</v>
      </c>
      <c r="W10" t="s">
        <v>73</v>
      </c>
      <c r="X10" t="s">
        <v>65</v>
      </c>
      <c r="Y10" t="s">
        <v>33</v>
      </c>
      <c r="Z10" t="s">
        <v>34</v>
      </c>
      <c r="AA10" t="s">
        <v>66</v>
      </c>
      <c r="AB10" s="2">
        <v>45597</v>
      </c>
      <c r="AC10" s="2">
        <v>45620</v>
      </c>
      <c r="AD10" t="s">
        <v>0</v>
      </c>
      <c r="AE10" s="2">
        <v>45607</v>
      </c>
      <c r="AF10" s="2"/>
      <c r="AG10" t="s">
        <v>44</v>
      </c>
      <c r="AH10" t="s">
        <v>68</v>
      </c>
      <c r="AI10" s="2">
        <v>45533</v>
      </c>
      <c r="AJ10" s="4">
        <v>877.04</v>
      </c>
      <c r="AK10" s="2">
        <v>45631</v>
      </c>
      <c r="AL10" s="2"/>
      <c r="AM10" t="s">
        <v>12</v>
      </c>
      <c r="AN10" s="5">
        <v>13.208045</v>
      </c>
      <c r="AO10" t="s">
        <v>38</v>
      </c>
      <c r="AP10" t="s">
        <v>45</v>
      </c>
      <c r="AQ10" t="s">
        <v>74</v>
      </c>
      <c r="AR10" s="6">
        <v>1</v>
      </c>
      <c r="AS10" s="3">
        <v>4</v>
      </c>
      <c r="AT10" t="s">
        <v>13</v>
      </c>
      <c r="AU10" s="9">
        <f t="shared" si="0"/>
        <v>45631</v>
      </c>
    </row>
    <row r="11" spans="1:47" x14ac:dyDescent="0.2">
      <c r="A11" t="s">
        <v>75</v>
      </c>
      <c r="B11" t="s">
        <v>76</v>
      </c>
      <c r="C11" s="2">
        <v>45457</v>
      </c>
      <c r="D11" t="s">
        <v>23</v>
      </c>
      <c r="E11" t="s">
        <v>24</v>
      </c>
      <c r="F11" t="s">
        <v>0</v>
      </c>
      <c r="G11" t="s">
        <v>0</v>
      </c>
      <c r="H11" t="s">
        <v>3</v>
      </c>
      <c r="I11" t="s">
        <v>4</v>
      </c>
      <c r="J11" t="s">
        <v>77</v>
      </c>
      <c r="K11" s="3">
        <v>0</v>
      </c>
      <c r="L11" t="s">
        <v>27</v>
      </c>
      <c r="M11" t="s">
        <v>27</v>
      </c>
      <c r="N11" t="s">
        <v>27</v>
      </c>
      <c r="O11" t="s">
        <v>54</v>
      </c>
      <c r="P11" t="s">
        <v>55</v>
      </c>
      <c r="Q11" s="3">
        <v>8</v>
      </c>
      <c r="R11" s="4">
        <v>1799.68</v>
      </c>
      <c r="S11" t="s">
        <v>8</v>
      </c>
      <c r="T11" s="2">
        <v>45677</v>
      </c>
      <c r="U11" s="2">
        <v>45677</v>
      </c>
      <c r="V11" t="s">
        <v>78</v>
      </c>
      <c r="W11" t="s">
        <v>79</v>
      </c>
      <c r="X11" t="s">
        <v>80</v>
      </c>
      <c r="Y11" t="s">
        <v>33</v>
      </c>
      <c r="Z11" t="s">
        <v>34</v>
      </c>
      <c r="AA11" t="s">
        <v>81</v>
      </c>
      <c r="AB11" s="2">
        <v>45621</v>
      </c>
      <c r="AC11" s="2">
        <v>45665</v>
      </c>
      <c r="AD11" t="s">
        <v>0</v>
      </c>
      <c r="AE11" s="2"/>
      <c r="AF11" s="2"/>
      <c r="AG11" t="s">
        <v>82</v>
      </c>
      <c r="AH11" t="s">
        <v>83</v>
      </c>
      <c r="AI11" s="2">
        <v>45604</v>
      </c>
      <c r="AJ11" s="4">
        <v>1799.68</v>
      </c>
      <c r="AK11" s="2">
        <v>45675</v>
      </c>
      <c r="AL11" s="2"/>
      <c r="AM11" t="s">
        <v>12</v>
      </c>
      <c r="AN11" s="5">
        <v>19.272352000000001</v>
      </c>
      <c r="AO11" t="s">
        <v>38</v>
      </c>
      <c r="AP11" t="s">
        <v>45</v>
      </c>
      <c r="AQ11" t="s">
        <v>40</v>
      </c>
      <c r="AR11" s="6">
        <v>1</v>
      </c>
      <c r="AS11" s="3">
        <v>8</v>
      </c>
      <c r="AT11" t="s">
        <v>13</v>
      </c>
      <c r="AU11" s="9">
        <f t="shared" si="0"/>
        <v>45675</v>
      </c>
    </row>
    <row r="12" spans="1:47" x14ac:dyDescent="0.2">
      <c r="A12" t="s">
        <v>84</v>
      </c>
      <c r="B12" t="s">
        <v>85</v>
      </c>
      <c r="C12" s="2">
        <v>45457</v>
      </c>
      <c r="D12" t="s">
        <v>59</v>
      </c>
      <c r="E12" t="s">
        <v>24</v>
      </c>
      <c r="F12" t="s">
        <v>0</v>
      </c>
      <c r="G12" t="s">
        <v>0</v>
      </c>
      <c r="H12" t="s">
        <v>60</v>
      </c>
      <c r="I12" t="s">
        <v>61</v>
      </c>
      <c r="J12" t="s">
        <v>86</v>
      </c>
      <c r="K12" s="3">
        <v>0</v>
      </c>
      <c r="L12" t="s">
        <v>27</v>
      </c>
      <c r="M12" t="s">
        <v>27</v>
      </c>
      <c r="N12" t="s">
        <v>27</v>
      </c>
      <c r="O12" t="s">
        <v>54</v>
      </c>
      <c r="P12" t="s">
        <v>55</v>
      </c>
      <c r="Q12" s="3">
        <v>20</v>
      </c>
      <c r="R12" s="4">
        <v>4385.2</v>
      </c>
      <c r="S12" t="s">
        <v>8</v>
      </c>
      <c r="T12" s="2">
        <v>45616</v>
      </c>
      <c r="U12" s="2">
        <v>45616</v>
      </c>
      <c r="V12" t="s">
        <v>87</v>
      </c>
      <c r="W12" t="s">
        <v>88</v>
      </c>
      <c r="X12" t="s">
        <v>89</v>
      </c>
      <c r="Y12" t="s">
        <v>33</v>
      </c>
      <c r="Z12" t="s">
        <v>34</v>
      </c>
      <c r="AA12" t="s">
        <v>90</v>
      </c>
      <c r="AB12" s="2">
        <v>45613</v>
      </c>
      <c r="AC12" s="2">
        <v>45643</v>
      </c>
      <c r="AD12" t="s">
        <v>0</v>
      </c>
      <c r="AE12" s="2"/>
      <c r="AF12" s="2"/>
      <c r="AG12" t="s">
        <v>36</v>
      </c>
      <c r="AH12" t="s">
        <v>91</v>
      </c>
      <c r="AI12" s="2">
        <v>45595</v>
      </c>
      <c r="AJ12" s="4">
        <v>4385.2</v>
      </c>
      <c r="AK12" s="2">
        <v>45653</v>
      </c>
      <c r="AL12" s="2"/>
      <c r="AM12" t="s">
        <v>12</v>
      </c>
      <c r="AN12" s="5">
        <v>54.568547000000002</v>
      </c>
      <c r="AO12" t="s">
        <v>38</v>
      </c>
      <c r="AP12" t="s">
        <v>45</v>
      </c>
      <c r="AQ12" t="s">
        <v>69</v>
      </c>
      <c r="AR12" s="6">
        <v>1</v>
      </c>
      <c r="AS12" s="3">
        <v>20</v>
      </c>
      <c r="AT12" t="s">
        <v>13</v>
      </c>
      <c r="AU12" s="9">
        <f t="shared" si="0"/>
        <v>45653</v>
      </c>
    </row>
    <row r="13" spans="1:47" x14ac:dyDescent="0.2">
      <c r="A13" t="s">
        <v>57</v>
      </c>
      <c r="B13" t="s">
        <v>92</v>
      </c>
      <c r="C13" s="2">
        <v>45457</v>
      </c>
      <c r="D13" t="s">
        <v>59</v>
      </c>
      <c r="E13" t="s">
        <v>24</v>
      </c>
      <c r="F13" t="s">
        <v>0</v>
      </c>
      <c r="G13" t="s">
        <v>0</v>
      </c>
      <c r="H13" t="s">
        <v>60</v>
      </c>
      <c r="I13" t="s">
        <v>61</v>
      </c>
      <c r="J13" t="s">
        <v>93</v>
      </c>
      <c r="K13" s="3">
        <v>0</v>
      </c>
      <c r="L13" t="s">
        <v>27</v>
      </c>
      <c r="M13" t="s">
        <v>27</v>
      </c>
      <c r="N13" t="s">
        <v>27</v>
      </c>
      <c r="O13" t="s">
        <v>94</v>
      </c>
      <c r="P13" t="s">
        <v>95</v>
      </c>
      <c r="Q13" s="3">
        <v>1</v>
      </c>
      <c r="R13" s="4">
        <v>50.68</v>
      </c>
      <c r="S13" t="s">
        <v>8</v>
      </c>
      <c r="T13" s="2">
        <v>45575</v>
      </c>
      <c r="U13" s="2">
        <v>45575</v>
      </c>
      <c r="V13" t="s">
        <v>96</v>
      </c>
      <c r="W13" t="s">
        <v>97</v>
      </c>
      <c r="X13" t="s">
        <v>65</v>
      </c>
      <c r="Y13" t="s">
        <v>33</v>
      </c>
      <c r="Z13" t="s">
        <v>34</v>
      </c>
      <c r="AA13" t="s">
        <v>66</v>
      </c>
      <c r="AB13" s="2">
        <v>45597</v>
      </c>
      <c r="AC13" s="2">
        <v>45620</v>
      </c>
      <c r="AD13" t="s">
        <v>0</v>
      </c>
      <c r="AE13" s="2">
        <v>45607</v>
      </c>
      <c r="AF13" s="2"/>
      <c r="AG13" t="s">
        <v>98</v>
      </c>
      <c r="AH13" t="s">
        <v>68</v>
      </c>
      <c r="AI13" s="2">
        <v>45533</v>
      </c>
      <c r="AJ13" s="4">
        <v>50.68</v>
      </c>
      <c r="AK13" s="2">
        <v>45631</v>
      </c>
      <c r="AL13" s="2"/>
      <c r="AM13" t="s">
        <v>12</v>
      </c>
      <c r="AN13" s="5">
        <v>0.76323099999999999</v>
      </c>
      <c r="AO13" t="s">
        <v>38</v>
      </c>
      <c r="AP13" t="s">
        <v>39</v>
      </c>
      <c r="AQ13" t="s">
        <v>74</v>
      </c>
      <c r="AR13" s="6">
        <v>1</v>
      </c>
      <c r="AS13" s="3">
        <v>1</v>
      </c>
      <c r="AT13" t="s">
        <v>13</v>
      </c>
      <c r="AU13" s="9">
        <f t="shared" si="0"/>
        <v>45631</v>
      </c>
    </row>
    <row r="14" spans="1:47" x14ac:dyDescent="0.2">
      <c r="A14" t="s">
        <v>46</v>
      </c>
      <c r="B14" t="s">
        <v>99</v>
      </c>
      <c r="C14" s="2">
        <v>45485</v>
      </c>
      <c r="D14" t="s">
        <v>23</v>
      </c>
      <c r="E14" t="s">
        <v>24</v>
      </c>
      <c r="F14" t="s">
        <v>25</v>
      </c>
      <c r="G14" t="s">
        <v>0</v>
      </c>
      <c r="H14" t="s">
        <v>3</v>
      </c>
      <c r="I14" t="s">
        <v>4</v>
      </c>
      <c r="J14" t="s">
        <v>100</v>
      </c>
      <c r="K14" s="3">
        <v>0</v>
      </c>
      <c r="L14" t="s">
        <v>27</v>
      </c>
      <c r="M14" t="s">
        <v>27</v>
      </c>
      <c r="N14" t="s">
        <v>27</v>
      </c>
      <c r="O14" t="s">
        <v>28</v>
      </c>
      <c r="P14" t="s">
        <v>29</v>
      </c>
      <c r="Q14" s="3">
        <v>50</v>
      </c>
      <c r="R14" s="4">
        <v>10666</v>
      </c>
      <c r="S14" t="s">
        <v>8</v>
      </c>
      <c r="T14" s="2">
        <v>45646</v>
      </c>
      <c r="U14" s="2">
        <v>45646</v>
      </c>
      <c r="V14" t="s">
        <v>101</v>
      </c>
      <c r="W14" t="s">
        <v>102</v>
      </c>
      <c r="X14" t="s">
        <v>48</v>
      </c>
      <c r="Y14" t="s">
        <v>33</v>
      </c>
      <c r="Z14" t="s">
        <v>34</v>
      </c>
      <c r="AA14" t="s">
        <v>49</v>
      </c>
      <c r="AB14" s="2">
        <v>45608</v>
      </c>
      <c r="AC14" s="2">
        <v>45641</v>
      </c>
      <c r="AD14" t="s">
        <v>0</v>
      </c>
      <c r="AE14" s="2"/>
      <c r="AF14" s="2"/>
      <c r="AG14" t="s">
        <v>103</v>
      </c>
      <c r="AH14" t="s">
        <v>50</v>
      </c>
      <c r="AI14" s="2">
        <v>45586</v>
      </c>
      <c r="AJ14" s="4">
        <v>10666</v>
      </c>
      <c r="AK14" s="2">
        <v>45662</v>
      </c>
      <c r="AL14" s="2"/>
      <c r="AM14" t="s">
        <v>12</v>
      </c>
      <c r="AN14" s="5">
        <v>86.299931000000001</v>
      </c>
      <c r="AO14" t="s">
        <v>38</v>
      </c>
      <c r="AP14" t="s">
        <v>39</v>
      </c>
      <c r="AQ14" t="s">
        <v>40</v>
      </c>
      <c r="AR14" s="6">
        <v>1</v>
      </c>
      <c r="AS14" s="3">
        <v>50</v>
      </c>
      <c r="AT14" t="s">
        <v>13</v>
      </c>
      <c r="AU14" s="9">
        <f t="shared" si="0"/>
        <v>45662</v>
      </c>
    </row>
    <row r="15" spans="1:47" x14ac:dyDescent="0.2">
      <c r="A15" t="s">
        <v>46</v>
      </c>
      <c r="B15" t="s">
        <v>99</v>
      </c>
      <c r="C15" s="2">
        <v>45485</v>
      </c>
      <c r="D15" t="s">
        <v>23</v>
      </c>
      <c r="E15" t="s">
        <v>24</v>
      </c>
      <c r="F15" t="s">
        <v>0</v>
      </c>
      <c r="G15" t="s">
        <v>0</v>
      </c>
      <c r="H15" t="s">
        <v>3</v>
      </c>
      <c r="I15" t="s">
        <v>4</v>
      </c>
      <c r="J15" t="s">
        <v>104</v>
      </c>
      <c r="K15" s="3">
        <v>0</v>
      </c>
      <c r="L15" t="s">
        <v>27</v>
      </c>
      <c r="M15" t="s">
        <v>27</v>
      </c>
      <c r="N15" t="s">
        <v>27</v>
      </c>
      <c r="O15" t="s">
        <v>54</v>
      </c>
      <c r="P15" t="s">
        <v>55</v>
      </c>
      <c r="Q15" s="3">
        <v>4</v>
      </c>
      <c r="R15" s="4">
        <v>899.84</v>
      </c>
      <c r="S15" t="s">
        <v>8</v>
      </c>
      <c r="T15" s="2">
        <v>45634</v>
      </c>
      <c r="U15" s="2">
        <v>45634</v>
      </c>
      <c r="V15" t="s">
        <v>101</v>
      </c>
      <c r="W15" t="s">
        <v>102</v>
      </c>
      <c r="X15" t="s">
        <v>48</v>
      </c>
      <c r="Y15" t="s">
        <v>33</v>
      </c>
      <c r="Z15" t="s">
        <v>34</v>
      </c>
      <c r="AA15" t="s">
        <v>49</v>
      </c>
      <c r="AB15" s="2">
        <v>45608</v>
      </c>
      <c r="AC15" s="2">
        <v>45641</v>
      </c>
      <c r="AD15" t="s">
        <v>0</v>
      </c>
      <c r="AE15" s="2"/>
      <c r="AF15" s="2"/>
      <c r="AG15" t="s">
        <v>44</v>
      </c>
      <c r="AH15" t="s">
        <v>50</v>
      </c>
      <c r="AI15" s="2">
        <v>45586</v>
      </c>
      <c r="AJ15" s="4">
        <v>899.84</v>
      </c>
      <c r="AK15" s="2">
        <v>45662</v>
      </c>
      <c r="AL15" s="2"/>
      <c r="AM15" t="s">
        <v>12</v>
      </c>
      <c r="AN15" s="5">
        <v>7.2807170000000001</v>
      </c>
      <c r="AO15" t="s">
        <v>38</v>
      </c>
      <c r="AP15" t="s">
        <v>45</v>
      </c>
      <c r="AQ15" t="s">
        <v>40</v>
      </c>
      <c r="AR15" s="6">
        <v>1</v>
      </c>
      <c r="AS15" s="3">
        <v>4</v>
      </c>
      <c r="AT15" t="s">
        <v>13</v>
      </c>
      <c r="AU15" s="9">
        <f t="shared" si="0"/>
        <v>45662</v>
      </c>
    </row>
    <row r="16" spans="1:47" x14ac:dyDescent="0.2">
      <c r="A16" t="s">
        <v>105</v>
      </c>
      <c r="B16" t="s">
        <v>106</v>
      </c>
      <c r="C16" s="2">
        <v>45518</v>
      </c>
      <c r="D16" t="s">
        <v>23</v>
      </c>
      <c r="E16" t="s">
        <v>24</v>
      </c>
      <c r="F16" t="s">
        <v>107</v>
      </c>
      <c r="G16" t="s">
        <v>0</v>
      </c>
      <c r="H16" t="s">
        <v>3</v>
      </c>
      <c r="I16" t="s">
        <v>4</v>
      </c>
      <c r="J16" t="s">
        <v>108</v>
      </c>
      <c r="K16" s="3">
        <v>0</v>
      </c>
      <c r="L16" t="s">
        <v>27</v>
      </c>
      <c r="M16" t="s">
        <v>27</v>
      </c>
      <c r="N16" t="s">
        <v>27</v>
      </c>
      <c r="O16" t="s">
        <v>109</v>
      </c>
      <c r="P16" t="s">
        <v>110</v>
      </c>
      <c r="Q16" s="3">
        <v>20</v>
      </c>
      <c r="R16" s="4">
        <v>293</v>
      </c>
      <c r="S16" t="s">
        <v>8</v>
      </c>
      <c r="T16" s="2">
        <v>45638</v>
      </c>
      <c r="U16" s="2">
        <v>45638</v>
      </c>
      <c r="V16" t="s">
        <v>111</v>
      </c>
      <c r="W16" t="s">
        <v>112</v>
      </c>
      <c r="X16" t="s">
        <v>113</v>
      </c>
      <c r="Y16" t="s">
        <v>33</v>
      </c>
      <c r="Z16" t="s">
        <v>34</v>
      </c>
      <c r="AA16" t="s">
        <v>114</v>
      </c>
      <c r="AB16" s="2">
        <v>45577</v>
      </c>
      <c r="AC16" s="2">
        <v>45607</v>
      </c>
      <c r="AD16" t="s">
        <v>0</v>
      </c>
      <c r="AE16" s="2">
        <v>45589</v>
      </c>
      <c r="AF16" s="2"/>
      <c r="AG16" t="s">
        <v>36</v>
      </c>
      <c r="AH16" t="s">
        <v>115</v>
      </c>
      <c r="AI16" s="2">
        <v>45577</v>
      </c>
      <c r="AJ16" s="4">
        <v>293</v>
      </c>
      <c r="AK16" s="2">
        <v>45617</v>
      </c>
      <c r="AL16" s="2"/>
      <c r="AM16" t="s">
        <v>12</v>
      </c>
      <c r="AN16" s="5">
        <v>4.0316609999999997</v>
      </c>
      <c r="AO16" t="s">
        <v>38</v>
      </c>
      <c r="AP16" t="s">
        <v>39</v>
      </c>
      <c r="AQ16" t="s">
        <v>116</v>
      </c>
      <c r="AR16" s="6">
        <v>1</v>
      </c>
      <c r="AS16" s="3">
        <v>20</v>
      </c>
      <c r="AT16" t="s">
        <v>13</v>
      </c>
      <c r="AU16" s="9">
        <f t="shared" si="0"/>
        <v>45617</v>
      </c>
    </row>
    <row r="17" spans="1:47" x14ac:dyDescent="0.2">
      <c r="A17" t="s">
        <v>105</v>
      </c>
      <c r="B17" t="s">
        <v>106</v>
      </c>
      <c r="C17" s="2">
        <v>45518</v>
      </c>
      <c r="D17" t="s">
        <v>23</v>
      </c>
      <c r="E17" t="s">
        <v>24</v>
      </c>
      <c r="F17" t="s">
        <v>0</v>
      </c>
      <c r="G17" t="s">
        <v>0</v>
      </c>
      <c r="H17" t="s">
        <v>3</v>
      </c>
      <c r="I17" t="s">
        <v>4</v>
      </c>
      <c r="J17" t="s">
        <v>117</v>
      </c>
      <c r="K17" s="3">
        <v>0</v>
      </c>
      <c r="L17" t="s">
        <v>27</v>
      </c>
      <c r="M17" t="s">
        <v>27</v>
      </c>
      <c r="N17" t="s">
        <v>27</v>
      </c>
      <c r="O17" t="s">
        <v>118</v>
      </c>
      <c r="P17" t="s">
        <v>119</v>
      </c>
      <c r="Q17" s="3">
        <v>7</v>
      </c>
      <c r="R17" s="4">
        <v>97.44</v>
      </c>
      <c r="S17" t="s">
        <v>8</v>
      </c>
      <c r="T17" s="2">
        <v>45638</v>
      </c>
      <c r="U17" s="2">
        <v>45638</v>
      </c>
      <c r="V17" t="s">
        <v>111</v>
      </c>
      <c r="W17" t="s">
        <v>112</v>
      </c>
      <c r="X17" t="s">
        <v>113</v>
      </c>
      <c r="Y17" t="s">
        <v>33</v>
      </c>
      <c r="Z17" t="s">
        <v>34</v>
      </c>
      <c r="AA17" t="s">
        <v>114</v>
      </c>
      <c r="AB17" s="2">
        <v>45577</v>
      </c>
      <c r="AC17" s="2">
        <v>45607</v>
      </c>
      <c r="AD17" t="s">
        <v>0</v>
      </c>
      <c r="AE17" s="2">
        <v>45589</v>
      </c>
      <c r="AF17" s="2"/>
      <c r="AG17" t="s">
        <v>120</v>
      </c>
      <c r="AH17" t="s">
        <v>115</v>
      </c>
      <c r="AI17" s="2">
        <v>45577</v>
      </c>
      <c r="AJ17" s="4">
        <v>97.44</v>
      </c>
      <c r="AK17" s="2">
        <v>45617</v>
      </c>
      <c r="AL17" s="2"/>
      <c r="AM17" t="s">
        <v>12</v>
      </c>
      <c r="AN17" s="5">
        <v>1.340768</v>
      </c>
      <c r="AO17" t="s">
        <v>38</v>
      </c>
      <c r="AP17" t="s">
        <v>121</v>
      </c>
      <c r="AQ17" t="s">
        <v>122</v>
      </c>
      <c r="AR17" s="6">
        <v>1</v>
      </c>
      <c r="AS17" s="3">
        <v>7</v>
      </c>
      <c r="AT17" t="s">
        <v>13</v>
      </c>
      <c r="AU17" s="9">
        <f t="shared" si="0"/>
        <v>45617</v>
      </c>
    </row>
    <row r="18" spans="1:47" x14ac:dyDescent="0.2">
      <c r="A18" t="s">
        <v>105</v>
      </c>
      <c r="B18" t="s">
        <v>106</v>
      </c>
      <c r="C18" s="2">
        <v>45518</v>
      </c>
      <c r="D18" t="s">
        <v>23</v>
      </c>
      <c r="E18" t="s">
        <v>24</v>
      </c>
      <c r="F18" t="s">
        <v>123</v>
      </c>
      <c r="G18" t="s">
        <v>0</v>
      </c>
      <c r="H18" t="s">
        <v>3</v>
      </c>
      <c r="I18" t="s">
        <v>4</v>
      </c>
      <c r="J18" t="s">
        <v>124</v>
      </c>
      <c r="K18" s="3">
        <v>0</v>
      </c>
      <c r="L18" t="s">
        <v>27</v>
      </c>
      <c r="M18" t="s">
        <v>27</v>
      </c>
      <c r="N18" t="s">
        <v>27</v>
      </c>
      <c r="O18" t="s">
        <v>125</v>
      </c>
      <c r="P18" t="s">
        <v>126</v>
      </c>
      <c r="Q18" s="3">
        <v>10</v>
      </c>
      <c r="R18" s="4">
        <v>4.5</v>
      </c>
      <c r="S18" t="s">
        <v>8</v>
      </c>
      <c r="T18" s="2">
        <v>45638</v>
      </c>
      <c r="U18" s="2">
        <v>45638</v>
      </c>
      <c r="V18" t="s">
        <v>111</v>
      </c>
      <c r="W18" t="s">
        <v>112</v>
      </c>
      <c r="X18" t="s">
        <v>113</v>
      </c>
      <c r="Y18" t="s">
        <v>33</v>
      </c>
      <c r="Z18" t="s">
        <v>34</v>
      </c>
      <c r="AA18" t="s">
        <v>114</v>
      </c>
      <c r="AB18" s="2">
        <v>45577</v>
      </c>
      <c r="AC18" s="2">
        <v>45607</v>
      </c>
      <c r="AD18" t="s">
        <v>0</v>
      </c>
      <c r="AE18" s="2">
        <v>45589</v>
      </c>
      <c r="AF18" s="2"/>
      <c r="AG18" t="s">
        <v>127</v>
      </c>
      <c r="AH18" t="s">
        <v>115</v>
      </c>
      <c r="AI18" s="2">
        <v>45577</v>
      </c>
      <c r="AJ18" s="4">
        <v>4.5</v>
      </c>
      <c r="AK18" s="2">
        <v>45617</v>
      </c>
      <c r="AL18" s="2"/>
      <c r="AM18" t="s">
        <v>12</v>
      </c>
      <c r="AN18" s="5">
        <v>6.1920000000000003E-2</v>
      </c>
      <c r="AO18" t="s">
        <v>38</v>
      </c>
      <c r="AP18" t="s">
        <v>128</v>
      </c>
      <c r="AQ18" t="s">
        <v>122</v>
      </c>
      <c r="AR18" s="6">
        <v>1</v>
      </c>
      <c r="AS18" s="3">
        <v>10</v>
      </c>
      <c r="AT18" t="s">
        <v>13</v>
      </c>
      <c r="AU18" s="9">
        <f t="shared" si="0"/>
        <v>45617</v>
      </c>
    </row>
    <row r="19" spans="1:47" x14ac:dyDescent="0.2">
      <c r="A19" t="s">
        <v>105</v>
      </c>
      <c r="B19" t="s">
        <v>106</v>
      </c>
      <c r="C19" s="2">
        <v>45518</v>
      </c>
      <c r="D19" t="s">
        <v>23</v>
      </c>
      <c r="E19" t="s">
        <v>24</v>
      </c>
      <c r="F19" t="s">
        <v>129</v>
      </c>
      <c r="G19" t="s">
        <v>0</v>
      </c>
      <c r="H19" t="s">
        <v>3</v>
      </c>
      <c r="I19" t="s">
        <v>4</v>
      </c>
      <c r="J19" t="s">
        <v>130</v>
      </c>
      <c r="K19" s="3">
        <v>0</v>
      </c>
      <c r="L19" t="s">
        <v>27</v>
      </c>
      <c r="M19" t="s">
        <v>27</v>
      </c>
      <c r="N19" t="s">
        <v>27</v>
      </c>
      <c r="O19" t="s">
        <v>131</v>
      </c>
      <c r="P19" t="s">
        <v>132</v>
      </c>
      <c r="Q19" s="3">
        <v>6</v>
      </c>
      <c r="R19" s="4">
        <v>28.02</v>
      </c>
      <c r="S19" t="s">
        <v>8</v>
      </c>
      <c r="T19" s="2">
        <v>45638</v>
      </c>
      <c r="U19" s="2">
        <v>45638</v>
      </c>
      <c r="V19" t="s">
        <v>111</v>
      </c>
      <c r="W19" t="s">
        <v>112</v>
      </c>
      <c r="X19" t="s">
        <v>113</v>
      </c>
      <c r="Y19" t="s">
        <v>33</v>
      </c>
      <c r="Z19" t="s">
        <v>34</v>
      </c>
      <c r="AA19" t="s">
        <v>114</v>
      </c>
      <c r="AB19" s="2">
        <v>45577</v>
      </c>
      <c r="AC19" s="2">
        <v>45607</v>
      </c>
      <c r="AD19" t="s">
        <v>0</v>
      </c>
      <c r="AE19" s="2">
        <v>45589</v>
      </c>
      <c r="AF19" s="2"/>
      <c r="AG19" t="s">
        <v>133</v>
      </c>
      <c r="AH19" t="s">
        <v>115</v>
      </c>
      <c r="AI19" s="2">
        <v>45577</v>
      </c>
      <c r="AJ19" s="4">
        <v>28.02</v>
      </c>
      <c r="AK19" s="2">
        <v>45617</v>
      </c>
      <c r="AL19" s="2"/>
      <c r="AM19" t="s">
        <v>12</v>
      </c>
      <c r="AN19" s="5">
        <v>0.38555299999999998</v>
      </c>
      <c r="AO19" t="s">
        <v>38</v>
      </c>
      <c r="AP19" t="s">
        <v>39</v>
      </c>
      <c r="AQ19" t="s">
        <v>122</v>
      </c>
      <c r="AR19" s="6">
        <v>1</v>
      </c>
      <c r="AS19" s="3">
        <v>6</v>
      </c>
      <c r="AT19" t="s">
        <v>13</v>
      </c>
      <c r="AU19" s="9">
        <f t="shared" si="0"/>
        <v>45617</v>
      </c>
    </row>
    <row r="20" spans="1:47" x14ac:dyDescent="0.2">
      <c r="A20" t="s">
        <v>105</v>
      </c>
      <c r="B20" t="s">
        <v>106</v>
      </c>
      <c r="C20" s="2">
        <v>45518</v>
      </c>
      <c r="D20" t="s">
        <v>23</v>
      </c>
      <c r="E20" t="s">
        <v>24</v>
      </c>
      <c r="F20" t="s">
        <v>0</v>
      </c>
      <c r="G20" t="s">
        <v>0</v>
      </c>
      <c r="H20" t="s">
        <v>3</v>
      </c>
      <c r="I20" t="s">
        <v>4</v>
      </c>
      <c r="J20" t="s">
        <v>134</v>
      </c>
      <c r="K20" s="3">
        <v>0</v>
      </c>
      <c r="L20" t="s">
        <v>27</v>
      </c>
      <c r="M20" t="s">
        <v>27</v>
      </c>
      <c r="N20" t="s">
        <v>27</v>
      </c>
      <c r="O20" t="s">
        <v>135</v>
      </c>
      <c r="P20" t="s">
        <v>136</v>
      </c>
      <c r="Q20" s="3">
        <v>10</v>
      </c>
      <c r="R20" s="4">
        <v>6.4</v>
      </c>
      <c r="S20" t="s">
        <v>8</v>
      </c>
      <c r="T20" s="2">
        <v>45638</v>
      </c>
      <c r="U20" s="2">
        <v>45638</v>
      </c>
      <c r="V20" t="s">
        <v>111</v>
      </c>
      <c r="W20" t="s">
        <v>112</v>
      </c>
      <c r="X20" t="s">
        <v>113</v>
      </c>
      <c r="Y20" t="s">
        <v>33</v>
      </c>
      <c r="Z20" t="s">
        <v>34</v>
      </c>
      <c r="AA20" t="s">
        <v>114</v>
      </c>
      <c r="AB20" s="2">
        <v>45577</v>
      </c>
      <c r="AC20" s="2">
        <v>45607</v>
      </c>
      <c r="AD20" t="s">
        <v>0</v>
      </c>
      <c r="AE20" s="2">
        <v>45589</v>
      </c>
      <c r="AF20" s="2"/>
      <c r="AG20" t="s">
        <v>127</v>
      </c>
      <c r="AH20" t="s">
        <v>115</v>
      </c>
      <c r="AI20" s="2">
        <v>45577</v>
      </c>
      <c r="AJ20" s="4">
        <v>6.4</v>
      </c>
      <c r="AK20" s="2">
        <v>45617</v>
      </c>
      <c r="AL20" s="2"/>
      <c r="AM20" t="s">
        <v>12</v>
      </c>
      <c r="AN20" s="5">
        <v>8.8064000000000003E-2</v>
      </c>
      <c r="AO20" t="s">
        <v>38</v>
      </c>
      <c r="AP20" t="s">
        <v>128</v>
      </c>
      <c r="AQ20" t="s">
        <v>122</v>
      </c>
      <c r="AR20" s="6">
        <v>1</v>
      </c>
      <c r="AS20" s="3">
        <v>10</v>
      </c>
      <c r="AT20" t="s">
        <v>13</v>
      </c>
      <c r="AU20" s="9">
        <f t="shared" si="0"/>
        <v>45617</v>
      </c>
    </row>
    <row r="21" spans="1:47" x14ac:dyDescent="0.2">
      <c r="A21" t="s">
        <v>105</v>
      </c>
      <c r="B21" t="s">
        <v>106</v>
      </c>
      <c r="C21" s="2">
        <v>45518</v>
      </c>
      <c r="D21" t="s">
        <v>23</v>
      </c>
      <c r="E21" t="s">
        <v>24</v>
      </c>
      <c r="F21" t="s">
        <v>137</v>
      </c>
      <c r="G21" t="s">
        <v>0</v>
      </c>
      <c r="H21" t="s">
        <v>3</v>
      </c>
      <c r="I21" t="s">
        <v>4</v>
      </c>
      <c r="J21" t="s">
        <v>138</v>
      </c>
      <c r="K21" s="3">
        <v>0</v>
      </c>
      <c r="L21" t="s">
        <v>27</v>
      </c>
      <c r="M21" t="s">
        <v>27</v>
      </c>
      <c r="N21" t="s">
        <v>27</v>
      </c>
      <c r="O21" t="s">
        <v>139</v>
      </c>
      <c r="P21" t="s">
        <v>140</v>
      </c>
      <c r="Q21" s="3">
        <v>5</v>
      </c>
      <c r="R21" s="4">
        <v>21.25</v>
      </c>
      <c r="S21" t="s">
        <v>8</v>
      </c>
      <c r="T21" s="2">
        <v>45638</v>
      </c>
      <c r="U21" s="2">
        <v>45638</v>
      </c>
      <c r="V21" t="s">
        <v>111</v>
      </c>
      <c r="W21" t="s">
        <v>112</v>
      </c>
      <c r="X21" t="s">
        <v>113</v>
      </c>
      <c r="Y21" t="s">
        <v>33</v>
      </c>
      <c r="Z21" t="s">
        <v>34</v>
      </c>
      <c r="AA21" t="s">
        <v>114</v>
      </c>
      <c r="AB21" s="2">
        <v>45577</v>
      </c>
      <c r="AC21" s="2">
        <v>45607</v>
      </c>
      <c r="AD21" t="s">
        <v>0</v>
      </c>
      <c r="AE21" s="2">
        <v>45589</v>
      </c>
      <c r="AF21" s="2"/>
      <c r="AG21" t="s">
        <v>141</v>
      </c>
      <c r="AH21" t="s">
        <v>115</v>
      </c>
      <c r="AI21" s="2">
        <v>45577</v>
      </c>
      <c r="AJ21" s="4">
        <v>21.25</v>
      </c>
      <c r="AK21" s="2">
        <v>45617</v>
      </c>
      <c r="AL21" s="2"/>
      <c r="AM21" t="s">
        <v>12</v>
      </c>
      <c r="AN21" s="5">
        <v>0.29239900000000002</v>
      </c>
      <c r="AO21" t="s">
        <v>38</v>
      </c>
      <c r="AP21" t="s">
        <v>142</v>
      </c>
      <c r="AQ21" t="s">
        <v>143</v>
      </c>
      <c r="AR21" s="6">
        <v>1</v>
      </c>
      <c r="AS21" s="3">
        <v>5</v>
      </c>
      <c r="AT21" t="s">
        <v>13</v>
      </c>
      <c r="AU21" s="9">
        <f t="shared" si="0"/>
        <v>45617</v>
      </c>
    </row>
    <row r="22" spans="1:47" x14ac:dyDescent="0.2">
      <c r="A22" t="s">
        <v>105</v>
      </c>
      <c r="B22" t="s">
        <v>106</v>
      </c>
      <c r="C22" s="2">
        <v>45518</v>
      </c>
      <c r="D22" t="s">
        <v>23</v>
      </c>
      <c r="E22" t="s">
        <v>24</v>
      </c>
      <c r="F22" t="s">
        <v>0</v>
      </c>
      <c r="G22" t="s">
        <v>0</v>
      </c>
      <c r="H22" t="s">
        <v>3</v>
      </c>
      <c r="I22" t="s">
        <v>4</v>
      </c>
      <c r="J22" t="s">
        <v>144</v>
      </c>
      <c r="K22" s="3">
        <v>0</v>
      </c>
      <c r="L22" t="s">
        <v>27</v>
      </c>
      <c r="M22" t="s">
        <v>27</v>
      </c>
      <c r="N22" t="s">
        <v>27</v>
      </c>
      <c r="O22" t="s">
        <v>145</v>
      </c>
      <c r="P22" t="s">
        <v>146</v>
      </c>
      <c r="Q22" s="3">
        <v>5</v>
      </c>
      <c r="R22" s="4">
        <v>4.75</v>
      </c>
      <c r="S22" t="s">
        <v>8</v>
      </c>
      <c r="T22" s="2">
        <v>45638</v>
      </c>
      <c r="U22" s="2">
        <v>45638</v>
      </c>
      <c r="V22" t="s">
        <v>111</v>
      </c>
      <c r="W22" t="s">
        <v>112</v>
      </c>
      <c r="X22" t="s">
        <v>113</v>
      </c>
      <c r="Y22" t="s">
        <v>33</v>
      </c>
      <c r="Z22" t="s">
        <v>34</v>
      </c>
      <c r="AA22" t="s">
        <v>114</v>
      </c>
      <c r="AB22" s="2">
        <v>45577</v>
      </c>
      <c r="AC22" s="2">
        <v>45607</v>
      </c>
      <c r="AD22" t="s">
        <v>0</v>
      </c>
      <c r="AE22" s="2">
        <v>45589</v>
      </c>
      <c r="AF22" s="2"/>
      <c r="AG22" t="s">
        <v>141</v>
      </c>
      <c r="AH22" t="s">
        <v>115</v>
      </c>
      <c r="AI22" s="2">
        <v>45577</v>
      </c>
      <c r="AJ22" s="4">
        <v>4.75</v>
      </c>
      <c r="AK22" s="2">
        <v>45617</v>
      </c>
      <c r="AL22" s="2"/>
      <c r="AM22" t="s">
        <v>12</v>
      </c>
      <c r="AN22" s="5">
        <v>6.5360000000000001E-2</v>
      </c>
      <c r="AO22" t="s">
        <v>38</v>
      </c>
      <c r="AP22" t="s">
        <v>128</v>
      </c>
      <c r="AQ22" t="s">
        <v>122</v>
      </c>
      <c r="AR22" s="6">
        <v>1</v>
      </c>
      <c r="AS22" s="3">
        <v>5</v>
      </c>
      <c r="AT22" t="s">
        <v>13</v>
      </c>
      <c r="AU22" s="9">
        <f t="shared" si="0"/>
        <v>45617</v>
      </c>
    </row>
    <row r="23" spans="1:47" x14ac:dyDescent="0.2">
      <c r="A23" t="s">
        <v>105</v>
      </c>
      <c r="B23" t="s">
        <v>106</v>
      </c>
      <c r="C23" s="2">
        <v>45518</v>
      </c>
      <c r="D23" t="s">
        <v>23</v>
      </c>
      <c r="E23" t="s">
        <v>24</v>
      </c>
      <c r="F23" t="s">
        <v>0</v>
      </c>
      <c r="G23" t="s">
        <v>0</v>
      </c>
      <c r="H23" t="s">
        <v>3</v>
      </c>
      <c r="I23" t="s">
        <v>4</v>
      </c>
      <c r="J23" t="s">
        <v>147</v>
      </c>
      <c r="K23" s="3">
        <v>0</v>
      </c>
      <c r="L23" t="s">
        <v>27</v>
      </c>
      <c r="M23" t="s">
        <v>27</v>
      </c>
      <c r="N23" t="s">
        <v>27</v>
      </c>
      <c r="O23" t="s">
        <v>148</v>
      </c>
      <c r="P23" t="s">
        <v>149</v>
      </c>
      <c r="Q23" s="3">
        <v>2</v>
      </c>
      <c r="R23" s="4">
        <v>35.04</v>
      </c>
      <c r="S23" t="s">
        <v>8</v>
      </c>
      <c r="T23" s="2">
        <v>45638</v>
      </c>
      <c r="U23" s="2">
        <v>45638</v>
      </c>
      <c r="V23" t="s">
        <v>111</v>
      </c>
      <c r="W23" t="s">
        <v>112</v>
      </c>
      <c r="X23" t="s">
        <v>113</v>
      </c>
      <c r="Y23" t="s">
        <v>33</v>
      </c>
      <c r="Z23" t="s">
        <v>34</v>
      </c>
      <c r="AA23" t="s">
        <v>114</v>
      </c>
      <c r="AB23" s="2">
        <v>45577</v>
      </c>
      <c r="AC23" s="2">
        <v>45607</v>
      </c>
      <c r="AD23" t="s">
        <v>0</v>
      </c>
      <c r="AE23" s="2">
        <v>45589</v>
      </c>
      <c r="AF23" s="2"/>
      <c r="AG23" t="s">
        <v>67</v>
      </c>
      <c r="AH23" t="s">
        <v>115</v>
      </c>
      <c r="AI23" s="2">
        <v>45577</v>
      </c>
      <c r="AJ23" s="4">
        <v>35.04</v>
      </c>
      <c r="AK23" s="2">
        <v>45617</v>
      </c>
      <c r="AL23" s="2"/>
      <c r="AM23" t="s">
        <v>12</v>
      </c>
      <c r="AN23" s="5">
        <v>0.48214800000000002</v>
      </c>
      <c r="AO23" t="s">
        <v>38</v>
      </c>
      <c r="AP23" t="s">
        <v>150</v>
      </c>
      <c r="AQ23" t="s">
        <v>122</v>
      </c>
      <c r="AR23" s="6">
        <v>1</v>
      </c>
      <c r="AS23" s="3">
        <v>2</v>
      </c>
      <c r="AT23" t="s">
        <v>13</v>
      </c>
      <c r="AU23" s="9">
        <f t="shared" si="0"/>
        <v>45617</v>
      </c>
    </row>
    <row r="24" spans="1:47" x14ac:dyDescent="0.2">
      <c r="A24" t="s">
        <v>46</v>
      </c>
      <c r="B24" t="s">
        <v>106</v>
      </c>
      <c r="C24" s="2">
        <v>45518</v>
      </c>
      <c r="D24" t="s">
        <v>23</v>
      </c>
      <c r="E24" t="s">
        <v>24</v>
      </c>
      <c r="F24" t="s">
        <v>25</v>
      </c>
      <c r="G24" t="s">
        <v>0</v>
      </c>
      <c r="H24" t="s">
        <v>3</v>
      </c>
      <c r="I24" t="s">
        <v>4</v>
      </c>
      <c r="J24" t="s">
        <v>151</v>
      </c>
      <c r="K24" s="3">
        <v>0</v>
      </c>
      <c r="L24" t="s">
        <v>27</v>
      </c>
      <c r="M24" t="s">
        <v>27</v>
      </c>
      <c r="N24" t="s">
        <v>27</v>
      </c>
      <c r="O24" t="s">
        <v>28</v>
      </c>
      <c r="P24" t="s">
        <v>29</v>
      </c>
      <c r="Q24" s="3">
        <v>40</v>
      </c>
      <c r="R24" s="4">
        <v>8532.7999999999993</v>
      </c>
      <c r="S24" t="s">
        <v>8</v>
      </c>
      <c r="T24" s="2">
        <v>45638</v>
      </c>
      <c r="U24" s="2">
        <v>45638</v>
      </c>
      <c r="V24" t="s">
        <v>111</v>
      </c>
      <c r="W24" t="s">
        <v>112</v>
      </c>
      <c r="X24" t="s">
        <v>48</v>
      </c>
      <c r="Y24" t="s">
        <v>33</v>
      </c>
      <c r="Z24" t="s">
        <v>34</v>
      </c>
      <c r="AA24" t="s">
        <v>49</v>
      </c>
      <c r="AB24" s="2">
        <v>45608</v>
      </c>
      <c r="AC24" s="2">
        <v>45641</v>
      </c>
      <c r="AD24" t="s">
        <v>0</v>
      </c>
      <c r="AE24" s="2"/>
      <c r="AF24" s="2"/>
      <c r="AG24" t="s">
        <v>152</v>
      </c>
      <c r="AH24" t="s">
        <v>50</v>
      </c>
      <c r="AI24" s="2">
        <v>45586</v>
      </c>
      <c r="AJ24" s="4">
        <v>8532.7999999999993</v>
      </c>
      <c r="AK24" s="2">
        <v>45662</v>
      </c>
      <c r="AL24" s="2"/>
      <c r="AM24" t="s">
        <v>12</v>
      </c>
      <c r="AN24" s="5">
        <v>69.039945000000003</v>
      </c>
      <c r="AO24" t="s">
        <v>38</v>
      </c>
      <c r="AP24" t="s">
        <v>39</v>
      </c>
      <c r="AQ24" t="s">
        <v>40</v>
      </c>
      <c r="AR24" s="6">
        <v>1</v>
      </c>
      <c r="AS24" s="3">
        <v>40</v>
      </c>
      <c r="AT24" t="s">
        <v>13</v>
      </c>
      <c r="AU24" s="9">
        <f t="shared" si="0"/>
        <v>45662</v>
      </c>
    </row>
    <row r="25" spans="1:47" x14ac:dyDescent="0.2">
      <c r="A25" t="s">
        <v>105</v>
      </c>
      <c r="B25" t="s">
        <v>106</v>
      </c>
      <c r="C25" s="2">
        <v>45518</v>
      </c>
      <c r="D25" t="s">
        <v>23</v>
      </c>
      <c r="E25" t="s">
        <v>24</v>
      </c>
      <c r="F25" t="s">
        <v>0</v>
      </c>
      <c r="G25" t="s">
        <v>0</v>
      </c>
      <c r="H25" t="s">
        <v>3</v>
      </c>
      <c r="I25" t="s">
        <v>4</v>
      </c>
      <c r="J25" t="s">
        <v>153</v>
      </c>
      <c r="K25" s="3">
        <v>0</v>
      </c>
      <c r="L25" t="s">
        <v>27</v>
      </c>
      <c r="M25" t="s">
        <v>27</v>
      </c>
      <c r="N25" t="s">
        <v>27</v>
      </c>
      <c r="O25" t="s">
        <v>154</v>
      </c>
      <c r="P25" t="s">
        <v>149</v>
      </c>
      <c r="Q25" s="3">
        <v>3</v>
      </c>
      <c r="R25" s="4">
        <v>2.19</v>
      </c>
      <c r="S25" t="s">
        <v>8</v>
      </c>
      <c r="T25" s="2">
        <v>45638</v>
      </c>
      <c r="U25" s="2">
        <v>45638</v>
      </c>
      <c r="V25" t="s">
        <v>111</v>
      </c>
      <c r="W25" t="s">
        <v>112</v>
      </c>
      <c r="X25" t="s">
        <v>113</v>
      </c>
      <c r="Y25" t="s">
        <v>33</v>
      </c>
      <c r="Z25" t="s">
        <v>34</v>
      </c>
      <c r="AA25" t="s">
        <v>114</v>
      </c>
      <c r="AB25" s="2">
        <v>45577</v>
      </c>
      <c r="AC25" s="2">
        <v>45607</v>
      </c>
      <c r="AD25" t="s">
        <v>0</v>
      </c>
      <c r="AE25" s="2">
        <v>45589</v>
      </c>
      <c r="AF25" s="2"/>
      <c r="AG25" t="s">
        <v>56</v>
      </c>
      <c r="AH25" t="s">
        <v>115</v>
      </c>
      <c r="AI25" s="2">
        <v>45577</v>
      </c>
      <c r="AJ25" s="4">
        <v>2.19</v>
      </c>
      <c r="AK25" s="2">
        <v>45617</v>
      </c>
      <c r="AL25" s="2"/>
      <c r="AM25" t="s">
        <v>12</v>
      </c>
      <c r="AN25" s="5">
        <v>3.0134000000000001E-2</v>
      </c>
      <c r="AO25" t="s">
        <v>38</v>
      </c>
      <c r="AP25" t="s">
        <v>150</v>
      </c>
      <c r="AQ25" t="s">
        <v>122</v>
      </c>
      <c r="AR25" s="6">
        <v>1</v>
      </c>
      <c r="AS25" s="3">
        <v>3</v>
      </c>
      <c r="AT25" t="s">
        <v>13</v>
      </c>
      <c r="AU25" s="9">
        <f t="shared" si="0"/>
        <v>45617</v>
      </c>
    </row>
    <row r="26" spans="1:47" x14ac:dyDescent="0.2">
      <c r="A26" t="s">
        <v>105</v>
      </c>
      <c r="B26" t="s">
        <v>106</v>
      </c>
      <c r="C26" s="2">
        <v>45518</v>
      </c>
      <c r="D26" t="s">
        <v>23</v>
      </c>
      <c r="E26" t="s">
        <v>24</v>
      </c>
      <c r="F26" t="s">
        <v>0</v>
      </c>
      <c r="G26" t="s">
        <v>0</v>
      </c>
      <c r="H26" t="s">
        <v>3</v>
      </c>
      <c r="I26" t="s">
        <v>4</v>
      </c>
      <c r="J26" t="s">
        <v>155</v>
      </c>
      <c r="K26" s="3">
        <v>0</v>
      </c>
      <c r="L26" t="s">
        <v>27</v>
      </c>
      <c r="M26" t="s">
        <v>27</v>
      </c>
      <c r="N26" t="s">
        <v>27</v>
      </c>
      <c r="O26" t="s">
        <v>156</v>
      </c>
      <c r="P26" t="s">
        <v>157</v>
      </c>
      <c r="Q26" s="3">
        <v>12</v>
      </c>
      <c r="R26" s="4">
        <v>1028.76</v>
      </c>
      <c r="S26" t="s">
        <v>8</v>
      </c>
      <c r="T26" s="2">
        <v>45638</v>
      </c>
      <c r="U26" s="2">
        <v>45638</v>
      </c>
      <c r="V26" t="s">
        <v>111</v>
      </c>
      <c r="W26" t="s">
        <v>112</v>
      </c>
      <c r="X26" t="s">
        <v>113</v>
      </c>
      <c r="Y26" t="s">
        <v>33</v>
      </c>
      <c r="Z26" t="s">
        <v>34</v>
      </c>
      <c r="AA26" t="s">
        <v>114</v>
      </c>
      <c r="AB26" s="2">
        <v>45577</v>
      </c>
      <c r="AC26" s="2">
        <v>45607</v>
      </c>
      <c r="AD26" t="s">
        <v>0</v>
      </c>
      <c r="AE26" s="2">
        <v>45589</v>
      </c>
      <c r="AF26" s="2"/>
      <c r="AG26" t="s">
        <v>158</v>
      </c>
      <c r="AH26" t="s">
        <v>115</v>
      </c>
      <c r="AI26" s="2">
        <v>45577</v>
      </c>
      <c r="AJ26" s="4">
        <v>1028.76</v>
      </c>
      <c r="AK26" s="2">
        <v>45617</v>
      </c>
      <c r="AL26" s="2"/>
      <c r="AM26" t="s">
        <v>12</v>
      </c>
      <c r="AN26" s="5">
        <v>14.155671999999999</v>
      </c>
      <c r="AO26" t="s">
        <v>38</v>
      </c>
      <c r="AP26" t="s">
        <v>39</v>
      </c>
      <c r="AQ26" t="s">
        <v>40</v>
      </c>
      <c r="AR26" s="6">
        <v>1</v>
      </c>
      <c r="AS26" s="3">
        <v>12</v>
      </c>
      <c r="AT26" t="s">
        <v>13</v>
      </c>
      <c r="AU26" s="9">
        <f t="shared" si="0"/>
        <v>45617</v>
      </c>
    </row>
    <row r="27" spans="1:47" x14ac:dyDescent="0.2">
      <c r="A27" t="s">
        <v>105</v>
      </c>
      <c r="B27" t="s">
        <v>106</v>
      </c>
      <c r="C27" s="2">
        <v>45518</v>
      </c>
      <c r="D27" t="s">
        <v>23</v>
      </c>
      <c r="E27" t="s">
        <v>24</v>
      </c>
      <c r="F27" t="s">
        <v>0</v>
      </c>
      <c r="G27" t="s">
        <v>0</v>
      </c>
      <c r="H27" t="s">
        <v>3</v>
      </c>
      <c r="I27" t="s">
        <v>4</v>
      </c>
      <c r="J27" t="s">
        <v>159</v>
      </c>
      <c r="K27" s="3">
        <v>0</v>
      </c>
      <c r="L27" t="s">
        <v>27</v>
      </c>
      <c r="M27" t="s">
        <v>27</v>
      </c>
      <c r="N27" t="s">
        <v>27</v>
      </c>
      <c r="O27" t="s">
        <v>17</v>
      </c>
      <c r="P27" t="s">
        <v>18</v>
      </c>
      <c r="Q27" s="3">
        <v>15</v>
      </c>
      <c r="R27" s="4">
        <v>5693.7</v>
      </c>
      <c r="S27" t="s">
        <v>8</v>
      </c>
      <c r="T27" s="2">
        <v>45638</v>
      </c>
      <c r="U27" s="2">
        <v>45638</v>
      </c>
      <c r="V27" t="s">
        <v>111</v>
      </c>
      <c r="W27" t="s">
        <v>112</v>
      </c>
      <c r="X27" t="s">
        <v>113</v>
      </c>
      <c r="Y27" t="s">
        <v>33</v>
      </c>
      <c r="Z27" t="s">
        <v>34</v>
      </c>
      <c r="AA27" t="s">
        <v>114</v>
      </c>
      <c r="AB27" s="2">
        <v>45577</v>
      </c>
      <c r="AC27" s="2">
        <v>45607</v>
      </c>
      <c r="AD27" t="s">
        <v>0</v>
      </c>
      <c r="AE27" s="2">
        <v>45589</v>
      </c>
      <c r="AF27" s="2"/>
      <c r="AG27" t="s">
        <v>52</v>
      </c>
      <c r="AH27" t="s">
        <v>115</v>
      </c>
      <c r="AI27" s="2">
        <v>45577</v>
      </c>
      <c r="AJ27" s="4">
        <v>5693.7</v>
      </c>
      <c r="AK27" s="2">
        <v>45617</v>
      </c>
      <c r="AL27" s="2"/>
      <c r="AM27" t="s">
        <v>12</v>
      </c>
      <c r="AN27" s="5">
        <v>78.344949</v>
      </c>
      <c r="AO27" t="s">
        <v>38</v>
      </c>
      <c r="AP27" t="s">
        <v>39</v>
      </c>
      <c r="AQ27" t="s">
        <v>40</v>
      </c>
      <c r="AR27" s="6">
        <v>1</v>
      </c>
      <c r="AS27" s="3">
        <v>15</v>
      </c>
      <c r="AT27" t="s">
        <v>13</v>
      </c>
      <c r="AU27" s="9">
        <f t="shared" si="0"/>
        <v>45617</v>
      </c>
    </row>
    <row r="28" spans="1:47" x14ac:dyDescent="0.2">
      <c r="A28" t="s">
        <v>46</v>
      </c>
      <c r="B28" t="s">
        <v>106</v>
      </c>
      <c r="C28" s="2">
        <v>45518</v>
      </c>
      <c r="D28" t="s">
        <v>23</v>
      </c>
      <c r="E28" t="s">
        <v>24</v>
      </c>
      <c r="F28" t="s">
        <v>0</v>
      </c>
      <c r="G28" t="s">
        <v>0</v>
      </c>
      <c r="H28" t="s">
        <v>3</v>
      </c>
      <c r="I28" t="s">
        <v>4</v>
      </c>
      <c r="J28" t="s">
        <v>160</v>
      </c>
      <c r="K28" s="3">
        <v>0</v>
      </c>
      <c r="L28" t="s">
        <v>27</v>
      </c>
      <c r="M28" t="s">
        <v>27</v>
      </c>
      <c r="N28" t="s">
        <v>27</v>
      </c>
      <c r="O28" t="s">
        <v>161</v>
      </c>
      <c r="P28" t="s">
        <v>162</v>
      </c>
      <c r="Q28" s="3">
        <v>1</v>
      </c>
      <c r="R28" s="4">
        <v>22.47</v>
      </c>
      <c r="S28" t="s">
        <v>8</v>
      </c>
      <c r="T28" s="2">
        <v>45638</v>
      </c>
      <c r="U28" s="2">
        <v>45638</v>
      </c>
      <c r="V28" t="s">
        <v>111</v>
      </c>
      <c r="W28" t="s">
        <v>112</v>
      </c>
      <c r="X28" t="s">
        <v>48</v>
      </c>
      <c r="Y28" t="s">
        <v>33</v>
      </c>
      <c r="Z28" t="s">
        <v>34</v>
      </c>
      <c r="AA28" t="s">
        <v>49</v>
      </c>
      <c r="AB28" s="2">
        <v>45608</v>
      </c>
      <c r="AC28" s="2">
        <v>45641</v>
      </c>
      <c r="AD28" t="s">
        <v>0</v>
      </c>
      <c r="AE28" s="2"/>
      <c r="AF28" s="2"/>
      <c r="AG28" t="s">
        <v>98</v>
      </c>
      <c r="AH28" t="s">
        <v>50</v>
      </c>
      <c r="AI28" s="2">
        <v>45586</v>
      </c>
      <c r="AJ28" s="4">
        <v>22.47</v>
      </c>
      <c r="AK28" s="2">
        <v>45662</v>
      </c>
      <c r="AL28" s="2"/>
      <c r="AM28" t="s">
        <v>12</v>
      </c>
      <c r="AN28" s="5">
        <v>0.181808</v>
      </c>
      <c r="AO28" t="s">
        <v>38</v>
      </c>
      <c r="AP28" t="s">
        <v>39</v>
      </c>
      <c r="AQ28" t="s">
        <v>122</v>
      </c>
      <c r="AR28" s="6">
        <v>1</v>
      </c>
      <c r="AS28" s="3">
        <v>1</v>
      </c>
      <c r="AT28" t="s">
        <v>13</v>
      </c>
      <c r="AU28" s="9">
        <f t="shared" si="0"/>
        <v>45662</v>
      </c>
    </row>
    <row r="29" spans="1:47" x14ac:dyDescent="0.2">
      <c r="A29" t="s">
        <v>105</v>
      </c>
      <c r="B29" t="s">
        <v>106</v>
      </c>
      <c r="C29" s="2">
        <v>45518</v>
      </c>
      <c r="D29" t="s">
        <v>23</v>
      </c>
      <c r="E29" t="s">
        <v>24</v>
      </c>
      <c r="F29" t="s">
        <v>0</v>
      </c>
      <c r="G29" t="s">
        <v>0</v>
      </c>
      <c r="H29" t="s">
        <v>3</v>
      </c>
      <c r="I29" t="s">
        <v>4</v>
      </c>
      <c r="J29" t="s">
        <v>163</v>
      </c>
      <c r="K29" s="3">
        <v>0</v>
      </c>
      <c r="L29" t="s">
        <v>27</v>
      </c>
      <c r="M29" t="s">
        <v>27</v>
      </c>
      <c r="N29" t="s">
        <v>27</v>
      </c>
      <c r="O29" t="s">
        <v>164</v>
      </c>
      <c r="P29" t="s">
        <v>165</v>
      </c>
      <c r="Q29" s="3">
        <v>2</v>
      </c>
      <c r="R29" s="4">
        <v>19.100000000000001</v>
      </c>
      <c r="S29" t="s">
        <v>8</v>
      </c>
      <c r="T29" s="2">
        <v>45638</v>
      </c>
      <c r="U29" s="2">
        <v>45638</v>
      </c>
      <c r="V29" t="s">
        <v>111</v>
      </c>
      <c r="W29" t="s">
        <v>112</v>
      </c>
      <c r="X29" t="s">
        <v>113</v>
      </c>
      <c r="Y29" t="s">
        <v>33</v>
      </c>
      <c r="Z29" t="s">
        <v>34</v>
      </c>
      <c r="AA29" t="s">
        <v>114</v>
      </c>
      <c r="AB29" s="2">
        <v>45577</v>
      </c>
      <c r="AC29" s="2">
        <v>45607</v>
      </c>
      <c r="AD29" t="s">
        <v>0</v>
      </c>
      <c r="AE29" s="2">
        <v>45589</v>
      </c>
      <c r="AF29" s="2"/>
      <c r="AG29" t="s">
        <v>67</v>
      </c>
      <c r="AH29" t="s">
        <v>115</v>
      </c>
      <c r="AI29" s="2">
        <v>45577</v>
      </c>
      <c r="AJ29" s="4">
        <v>19.100000000000001</v>
      </c>
      <c r="AK29" s="2">
        <v>45617</v>
      </c>
      <c r="AL29" s="2"/>
      <c r="AM29" t="s">
        <v>12</v>
      </c>
      <c r="AN29" s="5">
        <v>0.26281500000000002</v>
      </c>
      <c r="AO29" t="s">
        <v>38</v>
      </c>
      <c r="AP29" t="s">
        <v>39</v>
      </c>
      <c r="AQ29" t="s">
        <v>122</v>
      </c>
      <c r="AR29" s="6">
        <v>1</v>
      </c>
      <c r="AS29" s="3">
        <v>2</v>
      </c>
      <c r="AT29" t="s">
        <v>13</v>
      </c>
      <c r="AU29" s="9">
        <f t="shared" si="0"/>
        <v>45617</v>
      </c>
    </row>
    <row r="30" spans="1:47" x14ac:dyDescent="0.2">
      <c r="A30" t="s">
        <v>105</v>
      </c>
      <c r="B30" t="s">
        <v>106</v>
      </c>
      <c r="C30" s="2">
        <v>45518</v>
      </c>
      <c r="D30" t="s">
        <v>23</v>
      </c>
      <c r="E30" t="s">
        <v>24</v>
      </c>
      <c r="F30" t="s">
        <v>0</v>
      </c>
      <c r="G30" t="s">
        <v>0</v>
      </c>
      <c r="H30" t="s">
        <v>3</v>
      </c>
      <c r="I30" t="s">
        <v>4</v>
      </c>
      <c r="J30" t="s">
        <v>166</v>
      </c>
      <c r="K30" s="3">
        <v>0</v>
      </c>
      <c r="L30" t="s">
        <v>27</v>
      </c>
      <c r="M30" t="s">
        <v>27</v>
      </c>
      <c r="N30" t="s">
        <v>27</v>
      </c>
      <c r="O30" t="s">
        <v>167</v>
      </c>
      <c r="P30" t="s">
        <v>168</v>
      </c>
      <c r="Q30" s="3">
        <v>2</v>
      </c>
      <c r="R30" s="4">
        <v>535.32000000000005</v>
      </c>
      <c r="S30" t="s">
        <v>8</v>
      </c>
      <c r="T30" s="2">
        <v>45638</v>
      </c>
      <c r="U30" s="2">
        <v>45638</v>
      </c>
      <c r="V30" t="s">
        <v>111</v>
      </c>
      <c r="W30" t="s">
        <v>112</v>
      </c>
      <c r="X30" t="s">
        <v>113</v>
      </c>
      <c r="Y30" t="s">
        <v>33</v>
      </c>
      <c r="Z30" t="s">
        <v>34</v>
      </c>
      <c r="AA30" t="s">
        <v>114</v>
      </c>
      <c r="AB30" s="2">
        <v>45577</v>
      </c>
      <c r="AC30" s="2">
        <v>45607</v>
      </c>
      <c r="AD30" t="s">
        <v>0</v>
      </c>
      <c r="AE30" s="2">
        <v>45589</v>
      </c>
      <c r="AF30" s="2"/>
      <c r="AG30" t="s">
        <v>67</v>
      </c>
      <c r="AH30" t="s">
        <v>115</v>
      </c>
      <c r="AI30" s="2">
        <v>45577</v>
      </c>
      <c r="AJ30" s="4">
        <v>535.32000000000005</v>
      </c>
      <c r="AK30" s="2">
        <v>45617</v>
      </c>
      <c r="AL30" s="2"/>
      <c r="AM30" t="s">
        <v>12</v>
      </c>
      <c r="AN30" s="5">
        <v>7.3659689999999998</v>
      </c>
      <c r="AO30" t="s">
        <v>38</v>
      </c>
      <c r="AP30" t="s">
        <v>39</v>
      </c>
      <c r="AQ30" t="s">
        <v>169</v>
      </c>
      <c r="AR30" s="6">
        <v>1</v>
      </c>
      <c r="AS30" s="3">
        <v>2</v>
      </c>
      <c r="AT30" t="s">
        <v>13</v>
      </c>
      <c r="AU30" s="9">
        <f t="shared" si="0"/>
        <v>45617</v>
      </c>
    </row>
    <row r="31" spans="1:47" x14ac:dyDescent="0.2">
      <c r="A31" t="s">
        <v>0</v>
      </c>
      <c r="B31" t="s">
        <v>106</v>
      </c>
      <c r="C31" s="2">
        <v>45518</v>
      </c>
      <c r="D31" t="s">
        <v>0</v>
      </c>
      <c r="E31" t="s">
        <v>24</v>
      </c>
      <c r="F31" t="s">
        <v>0</v>
      </c>
      <c r="G31" t="s">
        <v>0</v>
      </c>
      <c r="H31" t="s">
        <v>3</v>
      </c>
      <c r="I31" t="s">
        <v>4</v>
      </c>
      <c r="J31" t="s">
        <v>170</v>
      </c>
      <c r="K31" s="3">
        <v>7</v>
      </c>
      <c r="L31" t="s">
        <v>0</v>
      </c>
      <c r="M31" t="s">
        <v>0</v>
      </c>
      <c r="N31" t="s">
        <v>0</v>
      </c>
      <c r="O31" t="s">
        <v>54</v>
      </c>
      <c r="P31" t="s">
        <v>55</v>
      </c>
      <c r="Q31" s="3">
        <v>7</v>
      </c>
      <c r="R31" s="4">
        <v>1574.72</v>
      </c>
      <c r="S31" t="s">
        <v>8</v>
      </c>
      <c r="T31" s="2">
        <v>45677</v>
      </c>
      <c r="U31" s="2">
        <v>45677</v>
      </c>
      <c r="V31" t="s">
        <v>111</v>
      </c>
      <c r="W31" t="s">
        <v>112</v>
      </c>
      <c r="X31" t="s">
        <v>0</v>
      </c>
      <c r="Y31" t="s">
        <v>0</v>
      </c>
      <c r="Z31" t="s">
        <v>0</v>
      </c>
      <c r="AA31" t="s">
        <v>0</v>
      </c>
      <c r="AB31" s="2"/>
      <c r="AC31" s="2"/>
      <c r="AD31" t="s">
        <v>0</v>
      </c>
      <c r="AE31" s="2"/>
      <c r="AF31" s="2"/>
      <c r="AG31" t="s">
        <v>11</v>
      </c>
      <c r="AH31" t="s">
        <v>0</v>
      </c>
      <c r="AI31" s="2"/>
      <c r="AJ31" s="4">
        <v>0</v>
      </c>
      <c r="AK31" s="2"/>
      <c r="AL31" s="2"/>
      <c r="AM31" t="s">
        <v>12</v>
      </c>
      <c r="AN31" s="5">
        <v>0</v>
      </c>
      <c r="AO31" t="s">
        <v>0</v>
      </c>
      <c r="AP31" t="s">
        <v>0</v>
      </c>
      <c r="AQ31" t="s">
        <v>0</v>
      </c>
      <c r="AR31" s="6">
        <v>1</v>
      </c>
      <c r="AS31" s="3">
        <v>7</v>
      </c>
      <c r="AT31" t="s">
        <v>13</v>
      </c>
      <c r="AU31" s="9">
        <f t="shared" si="0"/>
        <v>45677</v>
      </c>
    </row>
    <row r="32" spans="1:47" x14ac:dyDescent="0.2">
      <c r="A32" t="s">
        <v>57</v>
      </c>
      <c r="B32" t="s">
        <v>171</v>
      </c>
      <c r="C32" s="2">
        <v>45519</v>
      </c>
      <c r="D32" t="s">
        <v>59</v>
      </c>
      <c r="E32" t="s">
        <v>24</v>
      </c>
      <c r="F32" t="s">
        <v>0</v>
      </c>
      <c r="G32" t="s">
        <v>0</v>
      </c>
      <c r="H32" t="s">
        <v>60</v>
      </c>
      <c r="I32" t="s">
        <v>61</v>
      </c>
      <c r="J32" t="s">
        <v>172</v>
      </c>
      <c r="K32" s="3">
        <v>0</v>
      </c>
      <c r="L32" t="s">
        <v>27</v>
      </c>
      <c r="M32" t="s">
        <v>27</v>
      </c>
      <c r="N32" t="s">
        <v>27</v>
      </c>
      <c r="O32" t="s">
        <v>109</v>
      </c>
      <c r="P32" t="s">
        <v>110</v>
      </c>
      <c r="Q32" s="3">
        <v>20</v>
      </c>
      <c r="R32" s="4">
        <v>306.2</v>
      </c>
      <c r="S32" t="s">
        <v>8</v>
      </c>
      <c r="T32" s="2">
        <v>45594</v>
      </c>
      <c r="U32" s="2">
        <v>45594</v>
      </c>
      <c r="V32" t="s">
        <v>173</v>
      </c>
      <c r="W32" t="s">
        <v>174</v>
      </c>
      <c r="X32" t="s">
        <v>65</v>
      </c>
      <c r="Y32" t="s">
        <v>33</v>
      </c>
      <c r="Z32" t="s">
        <v>34</v>
      </c>
      <c r="AA32" t="s">
        <v>66</v>
      </c>
      <c r="AB32" s="2">
        <v>45597</v>
      </c>
      <c r="AC32" s="2">
        <v>45620</v>
      </c>
      <c r="AD32" t="s">
        <v>0</v>
      </c>
      <c r="AE32" s="2">
        <v>45607</v>
      </c>
      <c r="AF32" s="2"/>
      <c r="AG32" t="s">
        <v>36</v>
      </c>
      <c r="AH32" t="s">
        <v>68</v>
      </c>
      <c r="AI32" s="2">
        <v>45533</v>
      </c>
      <c r="AJ32" s="4">
        <v>306.2</v>
      </c>
      <c r="AK32" s="2">
        <v>45631</v>
      </c>
      <c r="AL32" s="2"/>
      <c r="AM32" t="s">
        <v>12</v>
      </c>
      <c r="AN32" s="5">
        <v>4.6113099999999996</v>
      </c>
      <c r="AO32" t="s">
        <v>38</v>
      </c>
      <c r="AP32" t="s">
        <v>39</v>
      </c>
      <c r="AQ32" t="s">
        <v>74</v>
      </c>
      <c r="AR32" s="6">
        <v>1</v>
      </c>
      <c r="AS32" s="3">
        <v>20</v>
      </c>
      <c r="AT32" t="s">
        <v>13</v>
      </c>
      <c r="AU32" s="9">
        <f t="shared" si="0"/>
        <v>45631</v>
      </c>
    </row>
    <row r="33" spans="1:47" x14ac:dyDescent="0.2">
      <c r="A33" t="s">
        <v>57</v>
      </c>
      <c r="B33" t="s">
        <v>171</v>
      </c>
      <c r="C33" s="2">
        <v>45519</v>
      </c>
      <c r="D33" t="s">
        <v>59</v>
      </c>
      <c r="E33" t="s">
        <v>24</v>
      </c>
      <c r="F33" t="s">
        <v>0</v>
      </c>
      <c r="G33" t="s">
        <v>0</v>
      </c>
      <c r="H33" t="s">
        <v>60</v>
      </c>
      <c r="I33" t="s">
        <v>61</v>
      </c>
      <c r="J33" t="s">
        <v>108</v>
      </c>
      <c r="K33" s="3">
        <v>0</v>
      </c>
      <c r="L33" t="s">
        <v>27</v>
      </c>
      <c r="M33" t="s">
        <v>27</v>
      </c>
      <c r="N33" t="s">
        <v>27</v>
      </c>
      <c r="O33" t="s">
        <v>118</v>
      </c>
      <c r="P33" t="s">
        <v>119</v>
      </c>
      <c r="Q33" s="3">
        <v>6</v>
      </c>
      <c r="R33" s="4">
        <v>87.3</v>
      </c>
      <c r="S33" t="s">
        <v>8</v>
      </c>
      <c r="T33" s="2">
        <v>45594</v>
      </c>
      <c r="U33" s="2">
        <v>45594</v>
      </c>
      <c r="V33" t="s">
        <v>173</v>
      </c>
      <c r="W33" t="s">
        <v>174</v>
      </c>
      <c r="X33" t="s">
        <v>65</v>
      </c>
      <c r="Y33" t="s">
        <v>33</v>
      </c>
      <c r="Z33" t="s">
        <v>34</v>
      </c>
      <c r="AA33" t="s">
        <v>66</v>
      </c>
      <c r="AB33" s="2">
        <v>45597</v>
      </c>
      <c r="AC33" s="2">
        <v>45620</v>
      </c>
      <c r="AD33" t="s">
        <v>0</v>
      </c>
      <c r="AE33" s="2">
        <v>45607</v>
      </c>
      <c r="AF33" s="2"/>
      <c r="AG33" t="s">
        <v>133</v>
      </c>
      <c r="AH33" t="s">
        <v>68</v>
      </c>
      <c r="AI33" s="2">
        <v>45533</v>
      </c>
      <c r="AJ33" s="4">
        <v>87.3</v>
      </c>
      <c r="AK33" s="2">
        <v>45631</v>
      </c>
      <c r="AL33" s="2"/>
      <c r="AM33" t="s">
        <v>12</v>
      </c>
      <c r="AN33" s="5">
        <v>1.3147200000000001</v>
      </c>
      <c r="AO33" t="s">
        <v>38</v>
      </c>
      <c r="AP33" t="s">
        <v>121</v>
      </c>
      <c r="AQ33" t="s">
        <v>74</v>
      </c>
      <c r="AR33" s="6">
        <v>1</v>
      </c>
      <c r="AS33" s="3">
        <v>6</v>
      </c>
      <c r="AT33" t="s">
        <v>13</v>
      </c>
      <c r="AU33" s="9">
        <f t="shared" si="0"/>
        <v>45631</v>
      </c>
    </row>
    <row r="34" spans="1:47" x14ac:dyDescent="0.2">
      <c r="A34" t="s">
        <v>57</v>
      </c>
      <c r="B34" t="s">
        <v>171</v>
      </c>
      <c r="C34" s="2">
        <v>45519</v>
      </c>
      <c r="D34" t="s">
        <v>59</v>
      </c>
      <c r="E34" t="s">
        <v>24</v>
      </c>
      <c r="F34" t="s">
        <v>0</v>
      </c>
      <c r="G34" t="s">
        <v>0</v>
      </c>
      <c r="H34" t="s">
        <v>60</v>
      </c>
      <c r="I34" t="s">
        <v>61</v>
      </c>
      <c r="J34" t="s">
        <v>175</v>
      </c>
      <c r="K34" s="3">
        <v>0</v>
      </c>
      <c r="L34" t="s">
        <v>27</v>
      </c>
      <c r="M34" t="s">
        <v>27</v>
      </c>
      <c r="N34" t="s">
        <v>27</v>
      </c>
      <c r="O34" t="s">
        <v>176</v>
      </c>
      <c r="P34" t="s">
        <v>177</v>
      </c>
      <c r="Q34" s="3">
        <v>8</v>
      </c>
      <c r="R34" s="4">
        <v>26.96</v>
      </c>
      <c r="S34" t="s">
        <v>8</v>
      </c>
      <c r="T34" s="2">
        <v>45594</v>
      </c>
      <c r="U34" s="2">
        <v>45594</v>
      </c>
      <c r="V34" t="s">
        <v>173</v>
      </c>
      <c r="W34" t="s">
        <v>174</v>
      </c>
      <c r="X34" t="s">
        <v>65</v>
      </c>
      <c r="Y34" t="s">
        <v>33</v>
      </c>
      <c r="Z34" t="s">
        <v>34</v>
      </c>
      <c r="AA34" t="s">
        <v>66</v>
      </c>
      <c r="AB34" s="2">
        <v>45597</v>
      </c>
      <c r="AC34" s="2">
        <v>45620</v>
      </c>
      <c r="AD34" t="s">
        <v>0</v>
      </c>
      <c r="AE34" s="2">
        <v>45607</v>
      </c>
      <c r="AF34" s="2"/>
      <c r="AG34" t="s">
        <v>82</v>
      </c>
      <c r="AH34" t="s">
        <v>68</v>
      </c>
      <c r="AI34" s="2">
        <v>45533</v>
      </c>
      <c r="AJ34" s="4">
        <v>26.96</v>
      </c>
      <c r="AK34" s="2">
        <v>45631</v>
      </c>
      <c r="AL34" s="2"/>
      <c r="AM34" t="s">
        <v>12</v>
      </c>
      <c r="AN34" s="5">
        <v>0.40601199999999998</v>
      </c>
      <c r="AO34" t="s">
        <v>38</v>
      </c>
      <c r="AP34" t="s">
        <v>39</v>
      </c>
      <c r="AQ34" t="s">
        <v>74</v>
      </c>
      <c r="AR34" s="6">
        <v>1</v>
      </c>
      <c r="AS34" s="3">
        <v>8</v>
      </c>
      <c r="AT34" t="s">
        <v>13</v>
      </c>
      <c r="AU34" s="9">
        <f t="shared" si="0"/>
        <v>45631</v>
      </c>
    </row>
    <row r="35" spans="1:47" x14ac:dyDescent="0.2">
      <c r="A35" t="s">
        <v>57</v>
      </c>
      <c r="B35" t="s">
        <v>171</v>
      </c>
      <c r="C35" s="2">
        <v>45519</v>
      </c>
      <c r="D35" t="s">
        <v>59</v>
      </c>
      <c r="E35" t="s">
        <v>24</v>
      </c>
      <c r="F35" t="s">
        <v>0</v>
      </c>
      <c r="G35" t="s">
        <v>0</v>
      </c>
      <c r="H35" t="s">
        <v>60</v>
      </c>
      <c r="I35" t="s">
        <v>61</v>
      </c>
      <c r="J35" t="s">
        <v>178</v>
      </c>
      <c r="K35" s="3">
        <v>0</v>
      </c>
      <c r="L35" t="s">
        <v>27</v>
      </c>
      <c r="M35" t="s">
        <v>27</v>
      </c>
      <c r="N35" t="s">
        <v>27</v>
      </c>
      <c r="O35" t="s">
        <v>131</v>
      </c>
      <c r="P35" t="s">
        <v>132</v>
      </c>
      <c r="Q35" s="3">
        <v>5</v>
      </c>
      <c r="R35" s="4">
        <v>23</v>
      </c>
      <c r="S35" t="s">
        <v>8</v>
      </c>
      <c r="T35" s="2">
        <v>45594</v>
      </c>
      <c r="U35" s="2">
        <v>45594</v>
      </c>
      <c r="V35" t="s">
        <v>173</v>
      </c>
      <c r="W35" t="s">
        <v>174</v>
      </c>
      <c r="X35" t="s">
        <v>65</v>
      </c>
      <c r="Y35" t="s">
        <v>33</v>
      </c>
      <c r="Z35" t="s">
        <v>34</v>
      </c>
      <c r="AA35" t="s">
        <v>66</v>
      </c>
      <c r="AB35" s="2">
        <v>45597</v>
      </c>
      <c r="AC35" s="2">
        <v>45620</v>
      </c>
      <c r="AD35" t="s">
        <v>0</v>
      </c>
      <c r="AE35" s="2">
        <v>45607</v>
      </c>
      <c r="AF35" s="2"/>
      <c r="AG35" t="s">
        <v>141</v>
      </c>
      <c r="AH35" t="s">
        <v>68</v>
      </c>
      <c r="AI35" s="2">
        <v>45533</v>
      </c>
      <c r="AJ35" s="4">
        <v>23</v>
      </c>
      <c r="AK35" s="2">
        <v>45631</v>
      </c>
      <c r="AL35" s="2"/>
      <c r="AM35" t="s">
        <v>12</v>
      </c>
      <c r="AN35" s="5">
        <v>0.34637499999999999</v>
      </c>
      <c r="AO35" t="s">
        <v>38</v>
      </c>
      <c r="AP35" t="s">
        <v>39</v>
      </c>
      <c r="AQ35" t="s">
        <v>74</v>
      </c>
      <c r="AR35" s="6">
        <v>1</v>
      </c>
      <c r="AS35" s="3">
        <v>5</v>
      </c>
      <c r="AT35" t="s">
        <v>13</v>
      </c>
      <c r="AU35" s="9">
        <f t="shared" si="0"/>
        <v>45631</v>
      </c>
    </row>
    <row r="36" spans="1:47" x14ac:dyDescent="0.2">
      <c r="A36" t="s">
        <v>57</v>
      </c>
      <c r="B36" t="s">
        <v>171</v>
      </c>
      <c r="C36" s="2">
        <v>45519</v>
      </c>
      <c r="D36" t="s">
        <v>59</v>
      </c>
      <c r="E36" t="s">
        <v>24</v>
      </c>
      <c r="F36" t="s">
        <v>0</v>
      </c>
      <c r="G36" t="s">
        <v>0</v>
      </c>
      <c r="H36" t="s">
        <v>60</v>
      </c>
      <c r="I36" t="s">
        <v>61</v>
      </c>
      <c r="J36" t="s">
        <v>179</v>
      </c>
      <c r="K36" s="3">
        <v>0</v>
      </c>
      <c r="L36" t="s">
        <v>27</v>
      </c>
      <c r="M36" t="s">
        <v>27</v>
      </c>
      <c r="N36" t="s">
        <v>27</v>
      </c>
      <c r="O36" t="s">
        <v>135</v>
      </c>
      <c r="P36" t="s">
        <v>136</v>
      </c>
      <c r="Q36" s="3">
        <v>22</v>
      </c>
      <c r="R36" s="4">
        <v>13.86</v>
      </c>
      <c r="S36" t="s">
        <v>8</v>
      </c>
      <c r="T36" s="2">
        <v>45594</v>
      </c>
      <c r="U36" s="2">
        <v>45594</v>
      </c>
      <c r="V36" t="s">
        <v>173</v>
      </c>
      <c r="W36" t="s">
        <v>174</v>
      </c>
      <c r="X36" t="s">
        <v>65</v>
      </c>
      <c r="Y36" t="s">
        <v>33</v>
      </c>
      <c r="Z36" t="s">
        <v>34</v>
      </c>
      <c r="AA36" t="s">
        <v>66</v>
      </c>
      <c r="AB36" s="2">
        <v>45597</v>
      </c>
      <c r="AC36" s="2">
        <v>45620</v>
      </c>
      <c r="AD36" t="s">
        <v>0</v>
      </c>
      <c r="AE36" s="2">
        <v>45607</v>
      </c>
      <c r="AF36" s="2"/>
      <c r="AG36" t="s">
        <v>180</v>
      </c>
      <c r="AH36" t="s">
        <v>68</v>
      </c>
      <c r="AI36" s="2">
        <v>45533</v>
      </c>
      <c r="AJ36" s="4">
        <v>13.86</v>
      </c>
      <c r="AK36" s="2">
        <v>45631</v>
      </c>
      <c r="AL36" s="2"/>
      <c r="AM36" t="s">
        <v>12</v>
      </c>
      <c r="AN36" s="5">
        <v>0.208729</v>
      </c>
      <c r="AO36" t="s">
        <v>38</v>
      </c>
      <c r="AP36" t="s">
        <v>128</v>
      </c>
      <c r="AQ36" t="s">
        <v>74</v>
      </c>
      <c r="AR36" s="6">
        <v>1</v>
      </c>
      <c r="AS36" s="3">
        <v>22</v>
      </c>
      <c r="AT36" t="s">
        <v>13</v>
      </c>
      <c r="AU36" s="9">
        <f t="shared" si="0"/>
        <v>45631</v>
      </c>
    </row>
    <row r="37" spans="1:47" x14ac:dyDescent="0.2">
      <c r="A37" t="s">
        <v>57</v>
      </c>
      <c r="B37" t="s">
        <v>181</v>
      </c>
      <c r="C37" s="2">
        <v>45519</v>
      </c>
      <c r="D37" t="s">
        <v>59</v>
      </c>
      <c r="E37" t="s">
        <v>24</v>
      </c>
      <c r="F37" t="s">
        <v>0</v>
      </c>
      <c r="G37" t="s">
        <v>0</v>
      </c>
      <c r="H37" t="s">
        <v>60</v>
      </c>
      <c r="I37" t="s">
        <v>61</v>
      </c>
      <c r="J37" t="s">
        <v>182</v>
      </c>
      <c r="K37" s="3">
        <v>0</v>
      </c>
      <c r="L37" t="s">
        <v>27</v>
      </c>
      <c r="M37" t="s">
        <v>27</v>
      </c>
      <c r="N37" t="s">
        <v>27</v>
      </c>
      <c r="O37" t="s">
        <v>145</v>
      </c>
      <c r="P37" t="s">
        <v>146</v>
      </c>
      <c r="Q37" s="3">
        <v>7</v>
      </c>
      <c r="R37" s="4">
        <v>6.51</v>
      </c>
      <c r="S37" t="s">
        <v>8</v>
      </c>
      <c r="T37" s="2">
        <v>45594</v>
      </c>
      <c r="U37" s="2">
        <v>45594</v>
      </c>
      <c r="V37" t="s">
        <v>183</v>
      </c>
      <c r="W37" t="s">
        <v>184</v>
      </c>
      <c r="X37" t="s">
        <v>65</v>
      </c>
      <c r="Y37" t="s">
        <v>33</v>
      </c>
      <c r="Z37" t="s">
        <v>34</v>
      </c>
      <c r="AA37" t="s">
        <v>66</v>
      </c>
      <c r="AB37" s="2">
        <v>45597</v>
      </c>
      <c r="AC37" s="2">
        <v>45620</v>
      </c>
      <c r="AD37" t="s">
        <v>0</v>
      </c>
      <c r="AE37" s="2">
        <v>45607</v>
      </c>
      <c r="AF37" s="2"/>
      <c r="AG37" t="s">
        <v>120</v>
      </c>
      <c r="AH37" t="s">
        <v>68</v>
      </c>
      <c r="AI37" s="2">
        <v>45533</v>
      </c>
      <c r="AJ37" s="4">
        <v>6.51</v>
      </c>
      <c r="AK37" s="2">
        <v>45631</v>
      </c>
      <c r="AL37" s="2"/>
      <c r="AM37" t="s">
        <v>12</v>
      </c>
      <c r="AN37" s="5">
        <v>9.8039000000000001E-2</v>
      </c>
      <c r="AO37" t="s">
        <v>38</v>
      </c>
      <c r="AP37" t="s">
        <v>128</v>
      </c>
      <c r="AQ37" t="s">
        <v>74</v>
      </c>
      <c r="AR37" s="6">
        <v>1</v>
      </c>
      <c r="AS37" s="3">
        <v>7</v>
      </c>
      <c r="AT37" t="s">
        <v>13</v>
      </c>
      <c r="AU37" s="9">
        <f t="shared" si="0"/>
        <v>45631</v>
      </c>
    </row>
    <row r="38" spans="1:47" x14ac:dyDescent="0.2">
      <c r="A38" t="s">
        <v>57</v>
      </c>
      <c r="B38" t="s">
        <v>181</v>
      </c>
      <c r="C38" s="2">
        <v>45519</v>
      </c>
      <c r="D38" t="s">
        <v>59</v>
      </c>
      <c r="E38" t="s">
        <v>24</v>
      </c>
      <c r="F38" t="s">
        <v>0</v>
      </c>
      <c r="G38" t="s">
        <v>0</v>
      </c>
      <c r="H38" t="s">
        <v>60</v>
      </c>
      <c r="I38" t="s">
        <v>61</v>
      </c>
      <c r="J38" t="s">
        <v>16</v>
      </c>
      <c r="K38" s="3">
        <v>0</v>
      </c>
      <c r="L38" t="s">
        <v>27</v>
      </c>
      <c r="M38" t="s">
        <v>27</v>
      </c>
      <c r="N38" t="s">
        <v>27</v>
      </c>
      <c r="O38" t="s">
        <v>154</v>
      </c>
      <c r="P38" t="s">
        <v>149</v>
      </c>
      <c r="Q38" s="3">
        <v>3</v>
      </c>
      <c r="R38" s="4">
        <v>2.13</v>
      </c>
      <c r="S38" t="s">
        <v>8</v>
      </c>
      <c r="T38" s="2">
        <v>45594</v>
      </c>
      <c r="U38" s="2">
        <v>45594</v>
      </c>
      <c r="V38" t="s">
        <v>183</v>
      </c>
      <c r="W38" t="s">
        <v>184</v>
      </c>
      <c r="X38" t="s">
        <v>65</v>
      </c>
      <c r="Y38" t="s">
        <v>33</v>
      </c>
      <c r="Z38" t="s">
        <v>34</v>
      </c>
      <c r="AA38" t="s">
        <v>66</v>
      </c>
      <c r="AB38" s="2">
        <v>45597</v>
      </c>
      <c r="AC38" s="2">
        <v>45620</v>
      </c>
      <c r="AD38" t="s">
        <v>0</v>
      </c>
      <c r="AE38" s="2">
        <v>45607</v>
      </c>
      <c r="AF38" s="2"/>
      <c r="AG38" t="s">
        <v>56</v>
      </c>
      <c r="AH38" t="s">
        <v>68</v>
      </c>
      <c r="AI38" s="2">
        <v>45533</v>
      </c>
      <c r="AJ38" s="4">
        <v>2.13</v>
      </c>
      <c r="AK38" s="2">
        <v>45631</v>
      </c>
      <c r="AL38" s="2"/>
      <c r="AM38" t="s">
        <v>12</v>
      </c>
      <c r="AN38" s="5">
        <v>3.2077000000000001E-2</v>
      </c>
      <c r="AO38" t="s">
        <v>38</v>
      </c>
      <c r="AP38" t="s">
        <v>150</v>
      </c>
      <c r="AQ38" t="s">
        <v>74</v>
      </c>
      <c r="AR38" s="6">
        <v>1</v>
      </c>
      <c r="AS38" s="3">
        <v>3</v>
      </c>
      <c r="AT38" t="s">
        <v>13</v>
      </c>
      <c r="AU38" s="9">
        <f t="shared" si="0"/>
        <v>45631</v>
      </c>
    </row>
    <row r="39" spans="1:47" x14ac:dyDescent="0.2">
      <c r="A39" t="s">
        <v>57</v>
      </c>
      <c r="B39" t="s">
        <v>181</v>
      </c>
      <c r="C39" s="2">
        <v>45519</v>
      </c>
      <c r="D39" t="s">
        <v>59</v>
      </c>
      <c r="E39" t="s">
        <v>24</v>
      </c>
      <c r="F39" t="s">
        <v>0</v>
      </c>
      <c r="G39" t="s">
        <v>0</v>
      </c>
      <c r="H39" t="s">
        <v>60</v>
      </c>
      <c r="I39" t="s">
        <v>61</v>
      </c>
      <c r="J39" t="s">
        <v>185</v>
      </c>
      <c r="K39" s="3">
        <v>0</v>
      </c>
      <c r="L39" t="s">
        <v>27</v>
      </c>
      <c r="M39" t="s">
        <v>27</v>
      </c>
      <c r="N39" t="s">
        <v>27</v>
      </c>
      <c r="O39" t="s">
        <v>156</v>
      </c>
      <c r="P39" t="s">
        <v>157</v>
      </c>
      <c r="Q39" s="3">
        <v>8</v>
      </c>
      <c r="R39" s="4">
        <v>674.8</v>
      </c>
      <c r="S39" t="s">
        <v>8</v>
      </c>
      <c r="T39" s="2">
        <v>45594</v>
      </c>
      <c r="U39" s="2">
        <v>45594</v>
      </c>
      <c r="V39" t="s">
        <v>183</v>
      </c>
      <c r="W39" t="s">
        <v>184</v>
      </c>
      <c r="X39" t="s">
        <v>65</v>
      </c>
      <c r="Y39" t="s">
        <v>33</v>
      </c>
      <c r="Z39" t="s">
        <v>34</v>
      </c>
      <c r="AA39" t="s">
        <v>66</v>
      </c>
      <c r="AB39" s="2">
        <v>45597</v>
      </c>
      <c r="AC39" s="2">
        <v>45620</v>
      </c>
      <c r="AD39" t="s">
        <v>0</v>
      </c>
      <c r="AE39" s="2">
        <v>45607</v>
      </c>
      <c r="AF39" s="2"/>
      <c r="AG39" t="s">
        <v>82</v>
      </c>
      <c r="AH39" t="s">
        <v>68</v>
      </c>
      <c r="AI39" s="2">
        <v>45533</v>
      </c>
      <c r="AJ39" s="4">
        <v>674.8</v>
      </c>
      <c r="AK39" s="2">
        <v>45631</v>
      </c>
      <c r="AL39" s="2"/>
      <c r="AM39" t="s">
        <v>12</v>
      </c>
      <c r="AN39" s="5">
        <v>10.162352</v>
      </c>
      <c r="AO39" t="s">
        <v>38</v>
      </c>
      <c r="AP39" t="s">
        <v>39</v>
      </c>
      <c r="AQ39" t="s">
        <v>69</v>
      </c>
      <c r="AR39" s="6">
        <v>1</v>
      </c>
      <c r="AS39" s="3">
        <v>8</v>
      </c>
      <c r="AT39" t="s">
        <v>13</v>
      </c>
      <c r="AU39" s="9">
        <f t="shared" si="0"/>
        <v>45631</v>
      </c>
    </row>
    <row r="40" spans="1:47" x14ac:dyDescent="0.2">
      <c r="A40" t="s">
        <v>57</v>
      </c>
      <c r="B40" t="s">
        <v>181</v>
      </c>
      <c r="C40" s="2">
        <v>45519</v>
      </c>
      <c r="D40" t="s">
        <v>59</v>
      </c>
      <c r="E40" t="s">
        <v>24</v>
      </c>
      <c r="F40" t="s">
        <v>0</v>
      </c>
      <c r="G40" t="s">
        <v>0</v>
      </c>
      <c r="H40" t="s">
        <v>60</v>
      </c>
      <c r="I40" t="s">
        <v>61</v>
      </c>
      <c r="J40" t="s">
        <v>186</v>
      </c>
      <c r="K40" s="3">
        <v>0</v>
      </c>
      <c r="L40" t="s">
        <v>27</v>
      </c>
      <c r="M40" t="s">
        <v>27</v>
      </c>
      <c r="N40" t="s">
        <v>27</v>
      </c>
      <c r="O40" t="s">
        <v>17</v>
      </c>
      <c r="P40" t="s">
        <v>18</v>
      </c>
      <c r="Q40" s="3">
        <v>25</v>
      </c>
      <c r="R40" s="4">
        <v>5957</v>
      </c>
      <c r="S40" t="s">
        <v>8</v>
      </c>
      <c r="T40" s="2">
        <v>45594</v>
      </c>
      <c r="U40" s="2">
        <v>45594</v>
      </c>
      <c r="V40" t="s">
        <v>183</v>
      </c>
      <c r="W40" t="s">
        <v>184</v>
      </c>
      <c r="X40" t="s">
        <v>65</v>
      </c>
      <c r="Y40" t="s">
        <v>33</v>
      </c>
      <c r="Z40" t="s">
        <v>34</v>
      </c>
      <c r="AA40" t="s">
        <v>66</v>
      </c>
      <c r="AB40" s="2">
        <v>45597</v>
      </c>
      <c r="AC40" s="2">
        <v>45620</v>
      </c>
      <c r="AD40" t="s">
        <v>0</v>
      </c>
      <c r="AE40" s="2">
        <v>45607</v>
      </c>
      <c r="AF40" s="2"/>
      <c r="AG40" t="s">
        <v>187</v>
      </c>
      <c r="AH40" t="s">
        <v>68</v>
      </c>
      <c r="AI40" s="2">
        <v>45533</v>
      </c>
      <c r="AJ40" s="4">
        <v>5957</v>
      </c>
      <c r="AK40" s="2">
        <v>45631</v>
      </c>
      <c r="AL40" s="2"/>
      <c r="AM40" t="s">
        <v>12</v>
      </c>
      <c r="AN40" s="5">
        <v>89.711214999999996</v>
      </c>
      <c r="AO40" t="s">
        <v>38</v>
      </c>
      <c r="AP40" t="s">
        <v>39</v>
      </c>
      <c r="AQ40" t="s">
        <v>69</v>
      </c>
      <c r="AR40" s="6">
        <v>1</v>
      </c>
      <c r="AS40" s="3">
        <v>25</v>
      </c>
      <c r="AT40" t="s">
        <v>13</v>
      </c>
      <c r="AU40" s="9">
        <f t="shared" si="0"/>
        <v>45631</v>
      </c>
    </row>
    <row r="41" spans="1:47" x14ac:dyDescent="0.2">
      <c r="A41" t="s">
        <v>57</v>
      </c>
      <c r="B41" t="s">
        <v>181</v>
      </c>
      <c r="C41" s="2">
        <v>45519</v>
      </c>
      <c r="D41" t="s">
        <v>59</v>
      </c>
      <c r="E41" t="s">
        <v>24</v>
      </c>
      <c r="F41" t="s">
        <v>0</v>
      </c>
      <c r="G41" t="s">
        <v>0</v>
      </c>
      <c r="H41" t="s">
        <v>60</v>
      </c>
      <c r="I41" t="s">
        <v>61</v>
      </c>
      <c r="J41" t="s">
        <v>188</v>
      </c>
      <c r="K41" s="3">
        <v>0</v>
      </c>
      <c r="L41" t="s">
        <v>27</v>
      </c>
      <c r="M41" t="s">
        <v>27</v>
      </c>
      <c r="N41" t="s">
        <v>27</v>
      </c>
      <c r="O41" t="s">
        <v>189</v>
      </c>
      <c r="P41" t="s">
        <v>190</v>
      </c>
      <c r="Q41" s="3">
        <v>1</v>
      </c>
      <c r="R41" s="4">
        <v>0.27</v>
      </c>
      <c r="S41" t="s">
        <v>8</v>
      </c>
      <c r="T41" s="2">
        <v>45594</v>
      </c>
      <c r="U41" s="2">
        <v>45594</v>
      </c>
      <c r="V41" t="s">
        <v>183</v>
      </c>
      <c r="W41" t="s">
        <v>184</v>
      </c>
      <c r="X41" t="s">
        <v>65</v>
      </c>
      <c r="Y41" t="s">
        <v>33</v>
      </c>
      <c r="Z41" t="s">
        <v>34</v>
      </c>
      <c r="AA41" t="s">
        <v>66</v>
      </c>
      <c r="AB41" s="2">
        <v>45597</v>
      </c>
      <c r="AC41" s="2">
        <v>45620</v>
      </c>
      <c r="AD41" t="s">
        <v>0</v>
      </c>
      <c r="AE41" s="2">
        <v>45607</v>
      </c>
      <c r="AF41" s="2"/>
      <c r="AG41" t="s">
        <v>98</v>
      </c>
      <c r="AH41" t="s">
        <v>68</v>
      </c>
      <c r="AI41" s="2">
        <v>45533</v>
      </c>
      <c r="AJ41" s="4">
        <v>0.27</v>
      </c>
      <c r="AK41" s="2">
        <v>45631</v>
      </c>
      <c r="AL41" s="2"/>
      <c r="AM41" t="s">
        <v>12</v>
      </c>
      <c r="AN41" s="5">
        <v>4.0660000000000002E-3</v>
      </c>
      <c r="AO41" t="s">
        <v>38</v>
      </c>
      <c r="AP41" t="s">
        <v>39</v>
      </c>
      <c r="AQ41" t="s">
        <v>74</v>
      </c>
      <c r="AR41" s="6">
        <v>1</v>
      </c>
      <c r="AS41" s="3">
        <v>1</v>
      </c>
      <c r="AT41" t="s">
        <v>13</v>
      </c>
      <c r="AU41" s="9">
        <f t="shared" si="0"/>
        <v>45631</v>
      </c>
    </row>
    <row r="42" spans="1:47" x14ac:dyDescent="0.2">
      <c r="A42" t="s">
        <v>57</v>
      </c>
      <c r="B42" t="s">
        <v>181</v>
      </c>
      <c r="C42" s="2">
        <v>45519</v>
      </c>
      <c r="D42" t="s">
        <v>59</v>
      </c>
      <c r="E42" t="s">
        <v>24</v>
      </c>
      <c r="F42" t="s">
        <v>0</v>
      </c>
      <c r="G42" t="s">
        <v>0</v>
      </c>
      <c r="H42" t="s">
        <v>60</v>
      </c>
      <c r="I42" t="s">
        <v>61</v>
      </c>
      <c r="J42" t="s">
        <v>191</v>
      </c>
      <c r="K42" s="3">
        <v>0</v>
      </c>
      <c r="L42" t="s">
        <v>27</v>
      </c>
      <c r="M42" t="s">
        <v>27</v>
      </c>
      <c r="N42" t="s">
        <v>27</v>
      </c>
      <c r="O42" t="s">
        <v>145</v>
      </c>
      <c r="P42" t="s">
        <v>146</v>
      </c>
      <c r="Q42" s="3">
        <v>3</v>
      </c>
      <c r="R42" s="4">
        <v>2.79</v>
      </c>
      <c r="S42" t="s">
        <v>8</v>
      </c>
      <c r="T42" s="2">
        <v>45594</v>
      </c>
      <c r="U42" s="2">
        <v>45594</v>
      </c>
      <c r="V42" t="s">
        <v>183</v>
      </c>
      <c r="W42" t="s">
        <v>184</v>
      </c>
      <c r="X42" t="s">
        <v>65</v>
      </c>
      <c r="Y42" t="s">
        <v>33</v>
      </c>
      <c r="Z42" t="s">
        <v>34</v>
      </c>
      <c r="AA42" t="s">
        <v>66</v>
      </c>
      <c r="AB42" s="2">
        <v>45597</v>
      </c>
      <c r="AC42" s="2">
        <v>45620</v>
      </c>
      <c r="AD42" t="s">
        <v>0</v>
      </c>
      <c r="AE42" s="2">
        <v>45607</v>
      </c>
      <c r="AF42" s="2"/>
      <c r="AG42" t="s">
        <v>56</v>
      </c>
      <c r="AH42" t="s">
        <v>68</v>
      </c>
      <c r="AI42" s="2">
        <v>45533</v>
      </c>
      <c r="AJ42" s="4">
        <v>2.79</v>
      </c>
      <c r="AK42" s="2">
        <v>45631</v>
      </c>
      <c r="AL42" s="2"/>
      <c r="AM42" t="s">
        <v>12</v>
      </c>
      <c r="AN42" s="5">
        <v>4.2016999999999999E-2</v>
      </c>
      <c r="AO42" t="s">
        <v>38</v>
      </c>
      <c r="AP42" t="s">
        <v>128</v>
      </c>
      <c r="AQ42" t="s">
        <v>74</v>
      </c>
      <c r="AR42" s="6">
        <v>1</v>
      </c>
      <c r="AS42" s="3">
        <v>3</v>
      </c>
      <c r="AT42" t="s">
        <v>13</v>
      </c>
      <c r="AU42" s="9">
        <f t="shared" si="0"/>
        <v>45631</v>
      </c>
    </row>
    <row r="43" spans="1:47" x14ac:dyDescent="0.2">
      <c r="A43" t="s">
        <v>57</v>
      </c>
      <c r="B43" t="s">
        <v>192</v>
      </c>
      <c r="C43" s="2">
        <v>45519</v>
      </c>
      <c r="D43" t="s">
        <v>59</v>
      </c>
      <c r="E43" t="s">
        <v>24</v>
      </c>
      <c r="F43" t="s">
        <v>0</v>
      </c>
      <c r="G43" t="s">
        <v>0</v>
      </c>
      <c r="H43" t="s">
        <v>60</v>
      </c>
      <c r="I43" t="s">
        <v>61</v>
      </c>
      <c r="J43" t="s">
        <v>182</v>
      </c>
      <c r="K43" s="3">
        <v>0</v>
      </c>
      <c r="L43" t="s">
        <v>27</v>
      </c>
      <c r="M43" t="s">
        <v>27</v>
      </c>
      <c r="N43" t="s">
        <v>27</v>
      </c>
      <c r="O43" t="s">
        <v>161</v>
      </c>
      <c r="P43" t="s">
        <v>162</v>
      </c>
      <c r="Q43" s="3">
        <v>3</v>
      </c>
      <c r="R43" s="4">
        <v>66.36</v>
      </c>
      <c r="S43" t="s">
        <v>8</v>
      </c>
      <c r="T43" s="2">
        <v>45594</v>
      </c>
      <c r="U43" s="2">
        <v>45594</v>
      </c>
      <c r="V43" t="s">
        <v>193</v>
      </c>
      <c r="W43" t="s">
        <v>194</v>
      </c>
      <c r="X43" t="s">
        <v>65</v>
      </c>
      <c r="Y43" t="s">
        <v>33</v>
      </c>
      <c r="Z43" t="s">
        <v>34</v>
      </c>
      <c r="AA43" t="s">
        <v>66</v>
      </c>
      <c r="AB43" s="2">
        <v>45597</v>
      </c>
      <c r="AC43" s="2">
        <v>45620</v>
      </c>
      <c r="AD43" t="s">
        <v>0</v>
      </c>
      <c r="AE43" s="2">
        <v>45607</v>
      </c>
      <c r="AF43" s="2"/>
      <c r="AG43" t="s">
        <v>56</v>
      </c>
      <c r="AH43" t="s">
        <v>68</v>
      </c>
      <c r="AI43" s="2">
        <v>45533</v>
      </c>
      <c r="AJ43" s="4">
        <v>66.36</v>
      </c>
      <c r="AK43" s="2">
        <v>45631</v>
      </c>
      <c r="AL43" s="2"/>
      <c r="AM43" t="s">
        <v>12</v>
      </c>
      <c r="AN43" s="5">
        <v>0.99936800000000003</v>
      </c>
      <c r="AO43" t="s">
        <v>38</v>
      </c>
      <c r="AP43" t="s">
        <v>39</v>
      </c>
      <c r="AQ43" t="s">
        <v>74</v>
      </c>
      <c r="AR43" s="6">
        <v>1</v>
      </c>
      <c r="AS43" s="3">
        <v>3</v>
      </c>
      <c r="AT43" t="s">
        <v>13</v>
      </c>
      <c r="AU43" s="9">
        <f t="shared" si="0"/>
        <v>45631</v>
      </c>
    </row>
    <row r="44" spans="1:47" x14ac:dyDescent="0.2">
      <c r="A44" t="s">
        <v>57</v>
      </c>
      <c r="B44" t="s">
        <v>192</v>
      </c>
      <c r="C44" s="2">
        <v>45519</v>
      </c>
      <c r="D44" t="s">
        <v>59</v>
      </c>
      <c r="E44" t="s">
        <v>24</v>
      </c>
      <c r="F44" t="s">
        <v>0</v>
      </c>
      <c r="G44" t="s">
        <v>0</v>
      </c>
      <c r="H44" t="s">
        <v>60</v>
      </c>
      <c r="I44" t="s">
        <v>61</v>
      </c>
      <c r="J44" t="s">
        <v>195</v>
      </c>
      <c r="K44" s="3">
        <v>0</v>
      </c>
      <c r="L44" t="s">
        <v>27</v>
      </c>
      <c r="M44" t="s">
        <v>27</v>
      </c>
      <c r="N44" t="s">
        <v>27</v>
      </c>
      <c r="O44" t="s">
        <v>164</v>
      </c>
      <c r="P44" t="s">
        <v>165</v>
      </c>
      <c r="Q44" s="3">
        <v>2</v>
      </c>
      <c r="R44" s="4">
        <v>18.82</v>
      </c>
      <c r="S44" t="s">
        <v>8</v>
      </c>
      <c r="T44" s="2">
        <v>45594</v>
      </c>
      <c r="U44" s="2">
        <v>45594</v>
      </c>
      <c r="V44" t="s">
        <v>193</v>
      </c>
      <c r="W44" t="s">
        <v>194</v>
      </c>
      <c r="X44" t="s">
        <v>65</v>
      </c>
      <c r="Y44" t="s">
        <v>33</v>
      </c>
      <c r="Z44" t="s">
        <v>34</v>
      </c>
      <c r="AA44" t="s">
        <v>66</v>
      </c>
      <c r="AB44" s="2">
        <v>45597</v>
      </c>
      <c r="AC44" s="2">
        <v>45620</v>
      </c>
      <c r="AD44" t="s">
        <v>0</v>
      </c>
      <c r="AE44" s="2">
        <v>45607</v>
      </c>
      <c r="AF44" s="2"/>
      <c r="AG44" t="s">
        <v>67</v>
      </c>
      <c r="AH44" t="s">
        <v>68</v>
      </c>
      <c r="AI44" s="2">
        <v>45533</v>
      </c>
      <c r="AJ44" s="4">
        <v>18.82</v>
      </c>
      <c r="AK44" s="2">
        <v>45631</v>
      </c>
      <c r="AL44" s="2"/>
      <c r="AM44" t="s">
        <v>12</v>
      </c>
      <c r="AN44" s="5">
        <v>0.28342499999999998</v>
      </c>
      <c r="AO44" t="s">
        <v>38</v>
      </c>
      <c r="AP44" t="s">
        <v>39</v>
      </c>
      <c r="AQ44" t="s">
        <v>74</v>
      </c>
      <c r="AR44" s="6">
        <v>1</v>
      </c>
      <c r="AS44" s="3">
        <v>2</v>
      </c>
      <c r="AT44" t="s">
        <v>13</v>
      </c>
      <c r="AU44" s="9">
        <f t="shared" si="0"/>
        <v>45631</v>
      </c>
    </row>
    <row r="45" spans="1:47" x14ac:dyDescent="0.2">
      <c r="A45" t="s">
        <v>57</v>
      </c>
      <c r="B45" t="s">
        <v>192</v>
      </c>
      <c r="C45" s="2">
        <v>45519</v>
      </c>
      <c r="D45" t="s">
        <v>59</v>
      </c>
      <c r="E45" t="s">
        <v>24</v>
      </c>
      <c r="F45" t="s">
        <v>0</v>
      </c>
      <c r="G45" t="s">
        <v>0</v>
      </c>
      <c r="H45" t="s">
        <v>60</v>
      </c>
      <c r="I45" t="s">
        <v>61</v>
      </c>
      <c r="J45" t="s">
        <v>196</v>
      </c>
      <c r="K45" s="3">
        <v>0</v>
      </c>
      <c r="L45" t="s">
        <v>27</v>
      </c>
      <c r="M45" t="s">
        <v>27</v>
      </c>
      <c r="N45" t="s">
        <v>27</v>
      </c>
      <c r="O45" t="s">
        <v>167</v>
      </c>
      <c r="P45" t="s">
        <v>168</v>
      </c>
      <c r="Q45" s="3">
        <v>2</v>
      </c>
      <c r="R45" s="4">
        <v>526.74</v>
      </c>
      <c r="S45" t="s">
        <v>8</v>
      </c>
      <c r="T45" s="2">
        <v>45594</v>
      </c>
      <c r="U45" s="2">
        <v>45594</v>
      </c>
      <c r="V45" t="s">
        <v>193</v>
      </c>
      <c r="W45" t="s">
        <v>194</v>
      </c>
      <c r="X45" t="s">
        <v>65</v>
      </c>
      <c r="Y45" t="s">
        <v>33</v>
      </c>
      <c r="Z45" t="s">
        <v>34</v>
      </c>
      <c r="AA45" t="s">
        <v>66</v>
      </c>
      <c r="AB45" s="2">
        <v>45597</v>
      </c>
      <c r="AC45" s="2">
        <v>45620</v>
      </c>
      <c r="AD45" t="s">
        <v>0</v>
      </c>
      <c r="AE45" s="2">
        <v>45607</v>
      </c>
      <c r="AF45" s="2"/>
      <c r="AG45" t="s">
        <v>67</v>
      </c>
      <c r="AH45" t="s">
        <v>68</v>
      </c>
      <c r="AI45" s="2">
        <v>45533</v>
      </c>
      <c r="AJ45" s="4">
        <v>526.74</v>
      </c>
      <c r="AK45" s="2">
        <v>45631</v>
      </c>
      <c r="AL45" s="2"/>
      <c r="AM45" t="s">
        <v>12</v>
      </c>
      <c r="AN45" s="5">
        <v>7.9325979999999996</v>
      </c>
      <c r="AO45" t="s">
        <v>38</v>
      </c>
      <c r="AP45" t="s">
        <v>39</v>
      </c>
      <c r="AQ45" t="s">
        <v>74</v>
      </c>
      <c r="AR45" s="6">
        <v>1</v>
      </c>
      <c r="AS45" s="3">
        <v>2</v>
      </c>
      <c r="AT45" t="s">
        <v>13</v>
      </c>
      <c r="AU45" s="9">
        <f t="shared" si="0"/>
        <v>45631</v>
      </c>
    </row>
    <row r="46" spans="1:47" x14ac:dyDescent="0.2">
      <c r="A46" t="s">
        <v>84</v>
      </c>
      <c r="B46" t="s">
        <v>192</v>
      </c>
      <c r="C46" s="2">
        <v>45519</v>
      </c>
      <c r="D46" t="s">
        <v>59</v>
      </c>
      <c r="E46" t="s">
        <v>24</v>
      </c>
      <c r="F46" t="s">
        <v>0</v>
      </c>
      <c r="G46" t="s">
        <v>0</v>
      </c>
      <c r="H46" t="s">
        <v>60</v>
      </c>
      <c r="I46" t="s">
        <v>61</v>
      </c>
      <c r="J46" t="s">
        <v>197</v>
      </c>
      <c r="K46" s="3">
        <v>0</v>
      </c>
      <c r="L46" t="s">
        <v>27</v>
      </c>
      <c r="M46" t="s">
        <v>27</v>
      </c>
      <c r="N46" t="s">
        <v>27</v>
      </c>
      <c r="O46" t="s">
        <v>161</v>
      </c>
      <c r="P46" t="s">
        <v>162</v>
      </c>
      <c r="Q46" s="3">
        <v>1</v>
      </c>
      <c r="R46" s="4">
        <v>22.12</v>
      </c>
      <c r="S46" t="s">
        <v>8</v>
      </c>
      <c r="T46" s="2">
        <v>45655</v>
      </c>
      <c r="U46" s="2">
        <v>45655</v>
      </c>
      <c r="V46" t="s">
        <v>193</v>
      </c>
      <c r="W46" t="s">
        <v>194</v>
      </c>
      <c r="X46" t="s">
        <v>89</v>
      </c>
      <c r="Y46" t="s">
        <v>33</v>
      </c>
      <c r="Z46" t="s">
        <v>34</v>
      </c>
      <c r="AA46" t="s">
        <v>90</v>
      </c>
      <c r="AB46" s="2">
        <v>45613</v>
      </c>
      <c r="AC46" s="2">
        <v>45643</v>
      </c>
      <c r="AD46" t="s">
        <v>0</v>
      </c>
      <c r="AE46" s="2"/>
      <c r="AF46" s="2"/>
      <c r="AG46" t="s">
        <v>98</v>
      </c>
      <c r="AH46" t="s">
        <v>91</v>
      </c>
      <c r="AI46" s="2">
        <v>45595</v>
      </c>
      <c r="AJ46" s="4">
        <v>22.12</v>
      </c>
      <c r="AK46" s="2">
        <v>45653</v>
      </c>
      <c r="AL46" s="2"/>
      <c r="AM46" t="s">
        <v>12</v>
      </c>
      <c r="AN46" s="5">
        <v>0.27525699999999997</v>
      </c>
      <c r="AO46" t="s">
        <v>38</v>
      </c>
      <c r="AP46" t="s">
        <v>39</v>
      </c>
      <c r="AQ46" t="s">
        <v>74</v>
      </c>
      <c r="AR46" s="6">
        <v>1</v>
      </c>
      <c r="AS46" s="3">
        <v>1</v>
      </c>
      <c r="AT46" t="s">
        <v>13</v>
      </c>
      <c r="AU46" s="9">
        <f t="shared" si="0"/>
        <v>45653</v>
      </c>
    </row>
    <row r="47" spans="1:47" x14ac:dyDescent="0.2">
      <c r="A47" t="s">
        <v>57</v>
      </c>
      <c r="B47" t="s">
        <v>198</v>
      </c>
      <c r="C47" s="2">
        <v>45530</v>
      </c>
      <c r="D47" t="s">
        <v>59</v>
      </c>
      <c r="E47" t="s">
        <v>24</v>
      </c>
      <c r="F47" t="s">
        <v>0</v>
      </c>
      <c r="G47" t="s">
        <v>0</v>
      </c>
      <c r="H47" t="s">
        <v>60</v>
      </c>
      <c r="I47" t="s">
        <v>61</v>
      </c>
      <c r="J47" t="s">
        <v>199</v>
      </c>
      <c r="K47" s="3">
        <v>0</v>
      </c>
      <c r="L47" t="s">
        <v>27</v>
      </c>
      <c r="M47" t="s">
        <v>27</v>
      </c>
      <c r="N47" t="s">
        <v>27</v>
      </c>
      <c r="O47" t="s">
        <v>200</v>
      </c>
      <c r="P47" t="s">
        <v>201</v>
      </c>
      <c r="Q47" s="3">
        <v>1</v>
      </c>
      <c r="R47" s="4">
        <v>0.38</v>
      </c>
      <c r="S47" t="s">
        <v>8</v>
      </c>
      <c r="T47" s="2">
        <v>45591</v>
      </c>
      <c r="U47" s="2">
        <v>45591</v>
      </c>
      <c r="V47" t="s">
        <v>0</v>
      </c>
      <c r="W47" t="s">
        <v>202</v>
      </c>
      <c r="X47" t="s">
        <v>65</v>
      </c>
      <c r="Y47" t="s">
        <v>33</v>
      </c>
      <c r="Z47" t="s">
        <v>34</v>
      </c>
      <c r="AA47" t="s">
        <v>66</v>
      </c>
      <c r="AB47" s="2">
        <v>45597</v>
      </c>
      <c r="AC47" s="2">
        <v>45620</v>
      </c>
      <c r="AD47" t="s">
        <v>0</v>
      </c>
      <c r="AE47" s="2">
        <v>45607</v>
      </c>
      <c r="AF47" s="2"/>
      <c r="AG47" t="s">
        <v>98</v>
      </c>
      <c r="AH47" t="s">
        <v>203</v>
      </c>
      <c r="AI47" s="2">
        <v>45533</v>
      </c>
      <c r="AJ47" s="4">
        <v>0.38</v>
      </c>
      <c r="AK47" s="2">
        <v>45631</v>
      </c>
      <c r="AL47" s="2"/>
      <c r="AM47" t="s">
        <v>12</v>
      </c>
      <c r="AN47" s="5">
        <v>6.8960000000000002E-3</v>
      </c>
      <c r="AO47" t="s">
        <v>38</v>
      </c>
      <c r="AP47" t="s">
        <v>128</v>
      </c>
      <c r="AQ47" t="s">
        <v>74</v>
      </c>
      <c r="AR47" s="6">
        <v>1</v>
      </c>
      <c r="AS47" s="3">
        <v>1</v>
      </c>
      <c r="AT47" t="s">
        <v>13</v>
      </c>
      <c r="AU47" s="9">
        <f t="shared" si="0"/>
        <v>45631</v>
      </c>
    </row>
    <row r="48" spans="1:47" x14ac:dyDescent="0.2">
      <c r="A48" t="s">
        <v>46</v>
      </c>
      <c r="B48" t="s">
        <v>204</v>
      </c>
      <c r="C48" s="2">
        <v>45546</v>
      </c>
      <c r="D48" t="s">
        <v>23</v>
      </c>
      <c r="E48" t="s">
        <v>24</v>
      </c>
      <c r="F48" t="s">
        <v>107</v>
      </c>
      <c r="G48" t="s">
        <v>0</v>
      </c>
      <c r="H48" t="s">
        <v>3</v>
      </c>
      <c r="I48" t="s">
        <v>4</v>
      </c>
      <c r="J48" t="s">
        <v>205</v>
      </c>
      <c r="K48" s="3">
        <v>0</v>
      </c>
      <c r="L48" t="s">
        <v>27</v>
      </c>
      <c r="M48" t="s">
        <v>27</v>
      </c>
      <c r="N48" t="s">
        <v>27</v>
      </c>
      <c r="O48" t="s">
        <v>109</v>
      </c>
      <c r="P48" t="s">
        <v>110</v>
      </c>
      <c r="Q48" s="3">
        <v>5</v>
      </c>
      <c r="R48" s="4">
        <v>73.25</v>
      </c>
      <c r="S48" t="s">
        <v>8</v>
      </c>
      <c r="T48" s="2">
        <v>45666</v>
      </c>
      <c r="U48" s="2">
        <v>45666</v>
      </c>
      <c r="V48" t="s">
        <v>206</v>
      </c>
      <c r="W48" t="s">
        <v>207</v>
      </c>
      <c r="X48" t="s">
        <v>48</v>
      </c>
      <c r="Y48" t="s">
        <v>33</v>
      </c>
      <c r="Z48" t="s">
        <v>34</v>
      </c>
      <c r="AA48" t="s">
        <v>49</v>
      </c>
      <c r="AB48" s="2">
        <v>45608</v>
      </c>
      <c r="AC48" s="2">
        <v>45641</v>
      </c>
      <c r="AD48" t="s">
        <v>0</v>
      </c>
      <c r="AE48" s="2"/>
      <c r="AF48" s="2"/>
      <c r="AG48" t="s">
        <v>141</v>
      </c>
      <c r="AH48" t="s">
        <v>50</v>
      </c>
      <c r="AI48" s="2">
        <v>45586</v>
      </c>
      <c r="AJ48" s="4">
        <v>73.25</v>
      </c>
      <c r="AK48" s="2">
        <v>45662</v>
      </c>
      <c r="AL48" s="2"/>
      <c r="AM48" t="s">
        <v>12</v>
      </c>
      <c r="AN48" s="5">
        <v>0.59267499999999995</v>
      </c>
      <c r="AO48" t="s">
        <v>38</v>
      </c>
      <c r="AP48" t="s">
        <v>39</v>
      </c>
      <c r="AQ48" t="s">
        <v>116</v>
      </c>
      <c r="AR48" s="6">
        <v>1</v>
      </c>
      <c r="AS48" s="3">
        <v>5</v>
      </c>
      <c r="AT48" t="s">
        <v>13</v>
      </c>
      <c r="AU48" s="9">
        <f t="shared" si="0"/>
        <v>45662</v>
      </c>
    </row>
    <row r="49" spans="1:47" x14ac:dyDescent="0.2">
      <c r="A49" t="s">
        <v>46</v>
      </c>
      <c r="B49" t="s">
        <v>204</v>
      </c>
      <c r="C49" s="2">
        <v>45546</v>
      </c>
      <c r="D49" t="s">
        <v>23</v>
      </c>
      <c r="E49" t="s">
        <v>24</v>
      </c>
      <c r="F49" t="s">
        <v>0</v>
      </c>
      <c r="G49" t="s">
        <v>0</v>
      </c>
      <c r="H49" t="s">
        <v>3</v>
      </c>
      <c r="I49" t="s">
        <v>4</v>
      </c>
      <c r="J49" t="s">
        <v>62</v>
      </c>
      <c r="K49" s="3">
        <v>0</v>
      </c>
      <c r="L49" t="s">
        <v>27</v>
      </c>
      <c r="M49" t="s">
        <v>27</v>
      </c>
      <c r="N49" t="s">
        <v>27</v>
      </c>
      <c r="O49" t="s">
        <v>208</v>
      </c>
      <c r="P49" t="s">
        <v>209</v>
      </c>
      <c r="Q49" s="3">
        <v>2</v>
      </c>
      <c r="R49" s="4">
        <v>11.34</v>
      </c>
      <c r="S49" t="s">
        <v>8</v>
      </c>
      <c r="T49" s="2">
        <v>45666</v>
      </c>
      <c r="U49" s="2">
        <v>45666</v>
      </c>
      <c r="V49" t="s">
        <v>206</v>
      </c>
      <c r="W49" t="s">
        <v>207</v>
      </c>
      <c r="X49" t="s">
        <v>48</v>
      </c>
      <c r="Y49" t="s">
        <v>33</v>
      </c>
      <c r="Z49" t="s">
        <v>34</v>
      </c>
      <c r="AA49" t="s">
        <v>49</v>
      </c>
      <c r="AB49" s="2">
        <v>45608</v>
      </c>
      <c r="AC49" s="2">
        <v>45641</v>
      </c>
      <c r="AD49" t="s">
        <v>0</v>
      </c>
      <c r="AE49" s="2"/>
      <c r="AF49" s="2"/>
      <c r="AG49" t="s">
        <v>67</v>
      </c>
      <c r="AH49" t="s">
        <v>50</v>
      </c>
      <c r="AI49" s="2">
        <v>45586</v>
      </c>
      <c r="AJ49" s="4">
        <v>11.34</v>
      </c>
      <c r="AK49" s="2">
        <v>45662</v>
      </c>
      <c r="AL49" s="2"/>
      <c r="AM49" t="s">
        <v>12</v>
      </c>
      <c r="AN49" s="5">
        <v>9.1753000000000001E-2</v>
      </c>
      <c r="AO49" t="s">
        <v>38</v>
      </c>
      <c r="AP49" t="s">
        <v>39</v>
      </c>
      <c r="AQ49" t="s">
        <v>40</v>
      </c>
      <c r="AR49" s="6">
        <v>1</v>
      </c>
      <c r="AS49" s="3">
        <v>2</v>
      </c>
      <c r="AT49" t="s">
        <v>13</v>
      </c>
      <c r="AU49" s="9">
        <f t="shared" si="0"/>
        <v>45662</v>
      </c>
    </row>
    <row r="50" spans="1:47" x14ac:dyDescent="0.2">
      <c r="A50" t="s">
        <v>46</v>
      </c>
      <c r="B50" t="s">
        <v>204</v>
      </c>
      <c r="C50" s="2">
        <v>45546</v>
      </c>
      <c r="D50" t="s">
        <v>23</v>
      </c>
      <c r="E50" t="s">
        <v>24</v>
      </c>
      <c r="F50" t="s">
        <v>210</v>
      </c>
      <c r="G50" t="s">
        <v>0</v>
      </c>
      <c r="H50" t="s">
        <v>3</v>
      </c>
      <c r="I50" t="s">
        <v>4</v>
      </c>
      <c r="J50" t="s">
        <v>185</v>
      </c>
      <c r="K50" s="3">
        <v>0</v>
      </c>
      <c r="L50" t="s">
        <v>27</v>
      </c>
      <c r="M50" t="s">
        <v>27</v>
      </c>
      <c r="N50" t="s">
        <v>27</v>
      </c>
      <c r="O50" t="s">
        <v>211</v>
      </c>
      <c r="P50" t="s">
        <v>212</v>
      </c>
      <c r="Q50" s="3">
        <v>5</v>
      </c>
      <c r="R50" s="4">
        <v>74.7</v>
      </c>
      <c r="S50" t="s">
        <v>8</v>
      </c>
      <c r="T50" s="2">
        <v>45666</v>
      </c>
      <c r="U50" s="2">
        <v>45666</v>
      </c>
      <c r="V50" t="s">
        <v>206</v>
      </c>
      <c r="W50" t="s">
        <v>207</v>
      </c>
      <c r="X50" t="s">
        <v>48</v>
      </c>
      <c r="Y50" t="s">
        <v>33</v>
      </c>
      <c r="Z50" t="s">
        <v>34</v>
      </c>
      <c r="AA50" t="s">
        <v>49</v>
      </c>
      <c r="AB50" s="2">
        <v>45608</v>
      </c>
      <c r="AC50" s="2">
        <v>45641</v>
      </c>
      <c r="AD50" t="s">
        <v>0</v>
      </c>
      <c r="AE50" s="2"/>
      <c r="AF50" s="2"/>
      <c r="AG50" t="s">
        <v>141</v>
      </c>
      <c r="AH50" t="s">
        <v>50</v>
      </c>
      <c r="AI50" s="2">
        <v>45586</v>
      </c>
      <c r="AJ50" s="4">
        <v>74.7</v>
      </c>
      <c r="AK50" s="2">
        <v>45662</v>
      </c>
      <c r="AL50" s="2"/>
      <c r="AM50" t="s">
        <v>12</v>
      </c>
      <c r="AN50" s="5">
        <v>0.60440700000000003</v>
      </c>
      <c r="AO50" t="s">
        <v>38</v>
      </c>
      <c r="AP50" t="s">
        <v>213</v>
      </c>
      <c r="AQ50" t="s">
        <v>122</v>
      </c>
      <c r="AR50" s="6">
        <v>1</v>
      </c>
      <c r="AS50" s="3">
        <v>5</v>
      </c>
      <c r="AT50" t="s">
        <v>13</v>
      </c>
      <c r="AU50" s="9">
        <f t="shared" si="0"/>
        <v>45662</v>
      </c>
    </row>
    <row r="51" spans="1:47" x14ac:dyDescent="0.2">
      <c r="A51" t="s">
        <v>46</v>
      </c>
      <c r="B51" t="s">
        <v>204</v>
      </c>
      <c r="C51" s="2">
        <v>45546</v>
      </c>
      <c r="D51" t="s">
        <v>23</v>
      </c>
      <c r="E51" t="s">
        <v>24</v>
      </c>
      <c r="F51" t="s">
        <v>0</v>
      </c>
      <c r="G51" t="s">
        <v>0</v>
      </c>
      <c r="H51" t="s">
        <v>3</v>
      </c>
      <c r="I51" t="s">
        <v>4</v>
      </c>
      <c r="J51" t="s">
        <v>214</v>
      </c>
      <c r="K51" s="3">
        <v>0</v>
      </c>
      <c r="L51" t="s">
        <v>27</v>
      </c>
      <c r="M51" t="s">
        <v>27</v>
      </c>
      <c r="N51" t="s">
        <v>27</v>
      </c>
      <c r="O51" t="s">
        <v>215</v>
      </c>
      <c r="P51" t="s">
        <v>216</v>
      </c>
      <c r="Q51" s="3">
        <v>11</v>
      </c>
      <c r="R51" s="4">
        <v>4.84</v>
      </c>
      <c r="S51" t="s">
        <v>8</v>
      </c>
      <c r="T51" s="2">
        <v>45666</v>
      </c>
      <c r="U51" s="2">
        <v>45666</v>
      </c>
      <c r="V51" t="s">
        <v>206</v>
      </c>
      <c r="W51" t="s">
        <v>207</v>
      </c>
      <c r="X51" t="s">
        <v>48</v>
      </c>
      <c r="Y51" t="s">
        <v>33</v>
      </c>
      <c r="Z51" t="s">
        <v>34</v>
      </c>
      <c r="AA51" t="s">
        <v>49</v>
      </c>
      <c r="AB51" s="2">
        <v>45608</v>
      </c>
      <c r="AC51" s="2">
        <v>45641</v>
      </c>
      <c r="AD51" t="s">
        <v>0</v>
      </c>
      <c r="AE51" s="2"/>
      <c r="AF51" s="2"/>
      <c r="AG51" t="s">
        <v>217</v>
      </c>
      <c r="AH51" t="s">
        <v>50</v>
      </c>
      <c r="AI51" s="2">
        <v>45586</v>
      </c>
      <c r="AJ51" s="4">
        <v>4.84</v>
      </c>
      <c r="AK51" s="2">
        <v>45662</v>
      </c>
      <c r="AL51" s="2"/>
      <c r="AM51" t="s">
        <v>12</v>
      </c>
      <c r="AN51" s="5">
        <v>3.9161000000000001E-2</v>
      </c>
      <c r="AO51" t="s">
        <v>38</v>
      </c>
      <c r="AP51" t="s">
        <v>128</v>
      </c>
      <c r="AQ51" t="s">
        <v>218</v>
      </c>
      <c r="AR51" s="6">
        <v>1</v>
      </c>
      <c r="AS51" s="3">
        <v>11</v>
      </c>
      <c r="AT51" t="s">
        <v>13</v>
      </c>
      <c r="AU51" s="9">
        <f t="shared" si="0"/>
        <v>45662</v>
      </c>
    </row>
    <row r="52" spans="1:47" x14ac:dyDescent="0.2">
      <c r="A52" t="s">
        <v>46</v>
      </c>
      <c r="B52" t="s">
        <v>204</v>
      </c>
      <c r="C52" s="2">
        <v>45546</v>
      </c>
      <c r="D52" t="s">
        <v>23</v>
      </c>
      <c r="E52" t="s">
        <v>24</v>
      </c>
      <c r="F52" t="s">
        <v>0</v>
      </c>
      <c r="G52" t="s">
        <v>0</v>
      </c>
      <c r="H52" t="s">
        <v>3</v>
      </c>
      <c r="I52" t="s">
        <v>4</v>
      </c>
      <c r="J52" t="s">
        <v>134</v>
      </c>
      <c r="K52" s="3">
        <v>0</v>
      </c>
      <c r="L52" t="s">
        <v>27</v>
      </c>
      <c r="M52" t="s">
        <v>27</v>
      </c>
      <c r="N52" t="s">
        <v>27</v>
      </c>
      <c r="O52" t="s">
        <v>200</v>
      </c>
      <c r="P52" t="s">
        <v>201</v>
      </c>
      <c r="Q52" s="3">
        <v>1</v>
      </c>
      <c r="R52" s="4">
        <v>0.39</v>
      </c>
      <c r="S52" t="s">
        <v>8</v>
      </c>
      <c r="T52" s="2">
        <v>45666</v>
      </c>
      <c r="U52" s="2">
        <v>45666</v>
      </c>
      <c r="V52" t="s">
        <v>206</v>
      </c>
      <c r="W52" t="s">
        <v>207</v>
      </c>
      <c r="X52" t="s">
        <v>48</v>
      </c>
      <c r="Y52" t="s">
        <v>33</v>
      </c>
      <c r="Z52" t="s">
        <v>34</v>
      </c>
      <c r="AA52" t="s">
        <v>49</v>
      </c>
      <c r="AB52" s="2">
        <v>45608</v>
      </c>
      <c r="AC52" s="2">
        <v>45641</v>
      </c>
      <c r="AD52" t="s">
        <v>0</v>
      </c>
      <c r="AE52" s="2"/>
      <c r="AF52" s="2"/>
      <c r="AG52" t="s">
        <v>98</v>
      </c>
      <c r="AH52" t="s">
        <v>50</v>
      </c>
      <c r="AI52" s="2">
        <v>45586</v>
      </c>
      <c r="AJ52" s="4">
        <v>0.39</v>
      </c>
      <c r="AK52" s="2">
        <v>45662</v>
      </c>
      <c r="AL52" s="2"/>
      <c r="AM52" t="s">
        <v>12</v>
      </c>
      <c r="AN52" s="5">
        <v>3.156E-3</v>
      </c>
      <c r="AO52" t="s">
        <v>38</v>
      </c>
      <c r="AP52" t="s">
        <v>128</v>
      </c>
      <c r="AQ52" t="s">
        <v>122</v>
      </c>
      <c r="AR52" s="6">
        <v>1</v>
      </c>
      <c r="AS52" s="3">
        <v>1</v>
      </c>
      <c r="AT52" t="s">
        <v>13</v>
      </c>
      <c r="AU52" s="9">
        <f t="shared" si="0"/>
        <v>45662</v>
      </c>
    </row>
    <row r="53" spans="1:47" x14ac:dyDescent="0.2">
      <c r="A53" t="s">
        <v>46</v>
      </c>
      <c r="B53" t="s">
        <v>204</v>
      </c>
      <c r="C53" s="2">
        <v>45546</v>
      </c>
      <c r="D53" t="s">
        <v>23</v>
      </c>
      <c r="E53" t="s">
        <v>24</v>
      </c>
      <c r="F53" t="s">
        <v>129</v>
      </c>
      <c r="G53" t="s">
        <v>0</v>
      </c>
      <c r="H53" t="s">
        <v>3</v>
      </c>
      <c r="I53" t="s">
        <v>4</v>
      </c>
      <c r="J53" t="s">
        <v>219</v>
      </c>
      <c r="K53" s="3">
        <v>0</v>
      </c>
      <c r="L53" t="s">
        <v>27</v>
      </c>
      <c r="M53" t="s">
        <v>27</v>
      </c>
      <c r="N53" t="s">
        <v>27</v>
      </c>
      <c r="O53" t="s">
        <v>131</v>
      </c>
      <c r="P53" t="s">
        <v>132</v>
      </c>
      <c r="Q53" s="3">
        <v>3</v>
      </c>
      <c r="R53" s="4">
        <v>14.01</v>
      </c>
      <c r="S53" t="s">
        <v>8</v>
      </c>
      <c r="T53" s="2">
        <v>45666</v>
      </c>
      <c r="U53" s="2">
        <v>45666</v>
      </c>
      <c r="V53" t="s">
        <v>206</v>
      </c>
      <c r="W53" t="s">
        <v>207</v>
      </c>
      <c r="X53" t="s">
        <v>48</v>
      </c>
      <c r="Y53" t="s">
        <v>33</v>
      </c>
      <c r="Z53" t="s">
        <v>34</v>
      </c>
      <c r="AA53" t="s">
        <v>49</v>
      </c>
      <c r="AB53" s="2">
        <v>45608</v>
      </c>
      <c r="AC53" s="2">
        <v>45641</v>
      </c>
      <c r="AD53" t="s">
        <v>0</v>
      </c>
      <c r="AE53" s="2"/>
      <c r="AF53" s="2"/>
      <c r="AG53" t="s">
        <v>56</v>
      </c>
      <c r="AH53" t="s">
        <v>50</v>
      </c>
      <c r="AI53" s="2">
        <v>45586</v>
      </c>
      <c r="AJ53" s="4">
        <v>14.01</v>
      </c>
      <c r="AK53" s="2">
        <v>45662</v>
      </c>
      <c r="AL53" s="2"/>
      <c r="AM53" t="s">
        <v>12</v>
      </c>
      <c r="AN53" s="5">
        <v>0.113357</v>
      </c>
      <c r="AO53" t="s">
        <v>38</v>
      </c>
      <c r="AP53" t="s">
        <v>39</v>
      </c>
      <c r="AQ53" t="s">
        <v>122</v>
      </c>
      <c r="AR53" s="6">
        <v>1</v>
      </c>
      <c r="AS53" s="3">
        <v>3</v>
      </c>
      <c r="AT53" t="s">
        <v>13</v>
      </c>
      <c r="AU53" s="9">
        <f t="shared" si="0"/>
        <v>45662</v>
      </c>
    </row>
    <row r="54" spans="1:47" x14ac:dyDescent="0.2">
      <c r="A54" t="s">
        <v>46</v>
      </c>
      <c r="B54" t="s">
        <v>204</v>
      </c>
      <c r="C54" s="2">
        <v>45546</v>
      </c>
      <c r="D54" t="s">
        <v>23</v>
      </c>
      <c r="E54" t="s">
        <v>24</v>
      </c>
      <c r="F54" t="s">
        <v>0</v>
      </c>
      <c r="G54" t="s">
        <v>0</v>
      </c>
      <c r="H54" t="s">
        <v>3</v>
      </c>
      <c r="I54" t="s">
        <v>4</v>
      </c>
      <c r="J54" t="s">
        <v>100</v>
      </c>
      <c r="K54" s="3">
        <v>0</v>
      </c>
      <c r="L54" t="s">
        <v>27</v>
      </c>
      <c r="M54" t="s">
        <v>27</v>
      </c>
      <c r="N54" t="s">
        <v>27</v>
      </c>
      <c r="O54" t="s">
        <v>220</v>
      </c>
      <c r="P54" t="s">
        <v>221</v>
      </c>
      <c r="Q54" s="3">
        <v>1</v>
      </c>
      <c r="R54" s="4">
        <v>0.55000000000000004</v>
      </c>
      <c r="S54" t="s">
        <v>8</v>
      </c>
      <c r="T54" s="2">
        <v>45666</v>
      </c>
      <c r="U54" s="2">
        <v>45666</v>
      </c>
      <c r="V54" t="s">
        <v>206</v>
      </c>
      <c r="W54" t="s">
        <v>207</v>
      </c>
      <c r="X54" t="s">
        <v>48</v>
      </c>
      <c r="Y54" t="s">
        <v>33</v>
      </c>
      <c r="Z54" t="s">
        <v>34</v>
      </c>
      <c r="AA54" t="s">
        <v>49</v>
      </c>
      <c r="AB54" s="2">
        <v>45608</v>
      </c>
      <c r="AC54" s="2">
        <v>45641</v>
      </c>
      <c r="AD54" t="s">
        <v>0</v>
      </c>
      <c r="AE54" s="2"/>
      <c r="AF54" s="2"/>
      <c r="AG54" t="s">
        <v>98</v>
      </c>
      <c r="AH54" t="s">
        <v>50</v>
      </c>
      <c r="AI54" s="2">
        <v>45586</v>
      </c>
      <c r="AJ54" s="4">
        <v>0.55000000000000004</v>
      </c>
      <c r="AK54" s="2">
        <v>45662</v>
      </c>
      <c r="AL54" s="2"/>
      <c r="AM54" t="s">
        <v>12</v>
      </c>
      <c r="AN54" s="5">
        <v>4.45E-3</v>
      </c>
      <c r="AO54" t="s">
        <v>38</v>
      </c>
      <c r="AP54" t="s">
        <v>39</v>
      </c>
      <c r="AQ54" t="s">
        <v>122</v>
      </c>
      <c r="AR54" s="6">
        <v>1</v>
      </c>
      <c r="AS54" s="3">
        <v>1</v>
      </c>
      <c r="AT54" t="s">
        <v>13</v>
      </c>
      <c r="AU54" s="9">
        <f t="shared" si="0"/>
        <v>45662</v>
      </c>
    </row>
    <row r="55" spans="1:47" x14ac:dyDescent="0.2">
      <c r="A55" t="s">
        <v>46</v>
      </c>
      <c r="B55" t="s">
        <v>204</v>
      </c>
      <c r="C55" s="2">
        <v>45546</v>
      </c>
      <c r="D55" t="s">
        <v>23</v>
      </c>
      <c r="E55" t="s">
        <v>24</v>
      </c>
      <c r="F55" t="s">
        <v>0</v>
      </c>
      <c r="G55" t="s">
        <v>0</v>
      </c>
      <c r="H55" t="s">
        <v>3</v>
      </c>
      <c r="I55" t="s">
        <v>4</v>
      </c>
      <c r="J55" t="s">
        <v>222</v>
      </c>
      <c r="K55" s="3">
        <v>0</v>
      </c>
      <c r="L55" t="s">
        <v>27</v>
      </c>
      <c r="M55" t="s">
        <v>27</v>
      </c>
      <c r="N55" t="s">
        <v>27</v>
      </c>
      <c r="O55" t="s">
        <v>145</v>
      </c>
      <c r="P55" t="s">
        <v>146</v>
      </c>
      <c r="Q55" s="3">
        <v>2</v>
      </c>
      <c r="R55" s="4">
        <v>1.9</v>
      </c>
      <c r="S55" t="s">
        <v>8</v>
      </c>
      <c r="T55" s="2">
        <v>45666</v>
      </c>
      <c r="U55" s="2">
        <v>45666</v>
      </c>
      <c r="V55" t="s">
        <v>206</v>
      </c>
      <c r="W55" t="s">
        <v>207</v>
      </c>
      <c r="X55" t="s">
        <v>48</v>
      </c>
      <c r="Y55" t="s">
        <v>33</v>
      </c>
      <c r="Z55" t="s">
        <v>34</v>
      </c>
      <c r="AA55" t="s">
        <v>49</v>
      </c>
      <c r="AB55" s="2">
        <v>45608</v>
      </c>
      <c r="AC55" s="2">
        <v>45641</v>
      </c>
      <c r="AD55" t="s">
        <v>0</v>
      </c>
      <c r="AE55" s="2"/>
      <c r="AF55" s="2"/>
      <c r="AG55" t="s">
        <v>67</v>
      </c>
      <c r="AH55" t="s">
        <v>50</v>
      </c>
      <c r="AI55" s="2">
        <v>45586</v>
      </c>
      <c r="AJ55" s="4">
        <v>1.9</v>
      </c>
      <c r="AK55" s="2">
        <v>45662</v>
      </c>
      <c r="AL55" s="2"/>
      <c r="AM55" t="s">
        <v>12</v>
      </c>
      <c r="AN55" s="5">
        <v>1.5373E-2</v>
      </c>
      <c r="AO55" t="s">
        <v>38</v>
      </c>
      <c r="AP55" t="s">
        <v>128</v>
      </c>
      <c r="AQ55" t="s">
        <v>122</v>
      </c>
      <c r="AR55" s="6">
        <v>1</v>
      </c>
      <c r="AS55" s="3">
        <v>2</v>
      </c>
      <c r="AT55" t="s">
        <v>13</v>
      </c>
      <c r="AU55" s="9">
        <f t="shared" si="0"/>
        <v>45662</v>
      </c>
    </row>
    <row r="56" spans="1:47" x14ac:dyDescent="0.2">
      <c r="A56" t="s">
        <v>46</v>
      </c>
      <c r="B56" t="s">
        <v>204</v>
      </c>
      <c r="C56" s="2">
        <v>45546</v>
      </c>
      <c r="D56" t="s">
        <v>23</v>
      </c>
      <c r="E56" t="s">
        <v>24</v>
      </c>
      <c r="F56" t="s">
        <v>0</v>
      </c>
      <c r="G56" t="s">
        <v>0</v>
      </c>
      <c r="H56" t="s">
        <v>3</v>
      </c>
      <c r="I56" t="s">
        <v>4</v>
      </c>
      <c r="J56" t="s">
        <v>223</v>
      </c>
      <c r="K56" s="3">
        <v>0</v>
      </c>
      <c r="L56" t="s">
        <v>27</v>
      </c>
      <c r="M56" t="s">
        <v>27</v>
      </c>
      <c r="N56" t="s">
        <v>27</v>
      </c>
      <c r="O56" t="s">
        <v>148</v>
      </c>
      <c r="P56" t="s">
        <v>149</v>
      </c>
      <c r="Q56" s="3">
        <v>2</v>
      </c>
      <c r="R56" s="4">
        <v>35.04</v>
      </c>
      <c r="S56" t="s">
        <v>8</v>
      </c>
      <c r="T56" s="2">
        <v>45666</v>
      </c>
      <c r="U56" s="2">
        <v>45666</v>
      </c>
      <c r="V56" t="s">
        <v>206</v>
      </c>
      <c r="W56" t="s">
        <v>207</v>
      </c>
      <c r="X56" t="s">
        <v>48</v>
      </c>
      <c r="Y56" t="s">
        <v>33</v>
      </c>
      <c r="Z56" t="s">
        <v>34</v>
      </c>
      <c r="AA56" t="s">
        <v>49</v>
      </c>
      <c r="AB56" s="2">
        <v>45608</v>
      </c>
      <c r="AC56" s="2">
        <v>45641</v>
      </c>
      <c r="AD56" t="s">
        <v>0</v>
      </c>
      <c r="AE56" s="2"/>
      <c r="AF56" s="2"/>
      <c r="AG56" t="s">
        <v>67</v>
      </c>
      <c r="AH56" t="s">
        <v>50</v>
      </c>
      <c r="AI56" s="2">
        <v>45586</v>
      </c>
      <c r="AJ56" s="4">
        <v>35.04</v>
      </c>
      <c r="AK56" s="2">
        <v>45662</v>
      </c>
      <c r="AL56" s="2"/>
      <c r="AM56" t="s">
        <v>12</v>
      </c>
      <c r="AN56" s="5">
        <v>0.28351300000000001</v>
      </c>
      <c r="AO56" t="s">
        <v>38</v>
      </c>
      <c r="AP56" t="s">
        <v>150</v>
      </c>
      <c r="AQ56" t="s">
        <v>122</v>
      </c>
      <c r="AR56" s="6">
        <v>1</v>
      </c>
      <c r="AS56" s="3">
        <v>2</v>
      </c>
      <c r="AT56" t="s">
        <v>13</v>
      </c>
      <c r="AU56" s="9">
        <f t="shared" si="0"/>
        <v>45662</v>
      </c>
    </row>
    <row r="57" spans="1:47" x14ac:dyDescent="0.2">
      <c r="A57" t="s">
        <v>46</v>
      </c>
      <c r="B57" t="s">
        <v>204</v>
      </c>
      <c r="C57" s="2">
        <v>45546</v>
      </c>
      <c r="D57" t="s">
        <v>23</v>
      </c>
      <c r="E57" t="s">
        <v>24</v>
      </c>
      <c r="F57" t="s">
        <v>0</v>
      </c>
      <c r="G57" t="s">
        <v>0</v>
      </c>
      <c r="H57" t="s">
        <v>3</v>
      </c>
      <c r="I57" t="s">
        <v>4</v>
      </c>
      <c r="J57" t="s">
        <v>224</v>
      </c>
      <c r="K57" s="3">
        <v>0</v>
      </c>
      <c r="L57" t="s">
        <v>27</v>
      </c>
      <c r="M57" t="s">
        <v>27</v>
      </c>
      <c r="N57" t="s">
        <v>27</v>
      </c>
      <c r="O57" t="s">
        <v>225</v>
      </c>
      <c r="P57" t="s">
        <v>226</v>
      </c>
      <c r="Q57" s="3">
        <v>1</v>
      </c>
      <c r="R57" s="4">
        <v>0.67</v>
      </c>
      <c r="S57" t="s">
        <v>8</v>
      </c>
      <c r="T57" s="2">
        <v>45666</v>
      </c>
      <c r="U57" s="2">
        <v>45666</v>
      </c>
      <c r="V57" t="s">
        <v>206</v>
      </c>
      <c r="W57" t="s">
        <v>207</v>
      </c>
      <c r="X57" t="s">
        <v>48</v>
      </c>
      <c r="Y57" t="s">
        <v>33</v>
      </c>
      <c r="Z57" t="s">
        <v>34</v>
      </c>
      <c r="AA57" t="s">
        <v>49</v>
      </c>
      <c r="AB57" s="2">
        <v>45608</v>
      </c>
      <c r="AC57" s="2">
        <v>45641</v>
      </c>
      <c r="AD57" t="s">
        <v>0</v>
      </c>
      <c r="AE57" s="2"/>
      <c r="AF57" s="2"/>
      <c r="AG57" t="s">
        <v>98</v>
      </c>
      <c r="AH57" t="s">
        <v>50</v>
      </c>
      <c r="AI57" s="2">
        <v>45586</v>
      </c>
      <c r="AJ57" s="4">
        <v>0.67</v>
      </c>
      <c r="AK57" s="2">
        <v>45662</v>
      </c>
      <c r="AL57" s="2"/>
      <c r="AM57" t="s">
        <v>12</v>
      </c>
      <c r="AN57" s="5">
        <v>5.4209999999999996E-3</v>
      </c>
      <c r="AO57" t="s">
        <v>38</v>
      </c>
      <c r="AP57" t="s">
        <v>39</v>
      </c>
      <c r="AQ57" t="s">
        <v>122</v>
      </c>
      <c r="AR57" s="6">
        <v>1</v>
      </c>
      <c r="AS57" s="3">
        <v>1</v>
      </c>
      <c r="AT57" t="s">
        <v>13</v>
      </c>
      <c r="AU57" s="9">
        <f t="shared" si="0"/>
        <v>45662</v>
      </c>
    </row>
    <row r="58" spans="1:47" x14ac:dyDescent="0.2">
      <c r="A58" t="s">
        <v>46</v>
      </c>
      <c r="B58" t="s">
        <v>204</v>
      </c>
      <c r="C58" s="2">
        <v>45546</v>
      </c>
      <c r="D58" t="s">
        <v>23</v>
      </c>
      <c r="E58" t="s">
        <v>24</v>
      </c>
      <c r="F58" t="s">
        <v>25</v>
      </c>
      <c r="G58" t="s">
        <v>0</v>
      </c>
      <c r="H58" t="s">
        <v>3</v>
      </c>
      <c r="I58" t="s">
        <v>4</v>
      </c>
      <c r="J58" t="s">
        <v>153</v>
      </c>
      <c r="K58" s="3">
        <v>0</v>
      </c>
      <c r="L58" t="s">
        <v>27</v>
      </c>
      <c r="M58" t="s">
        <v>27</v>
      </c>
      <c r="N58" t="s">
        <v>27</v>
      </c>
      <c r="O58" t="s">
        <v>28</v>
      </c>
      <c r="P58" t="s">
        <v>29</v>
      </c>
      <c r="Q58" s="3">
        <v>20</v>
      </c>
      <c r="R58" s="4">
        <v>4266.3999999999996</v>
      </c>
      <c r="S58" t="s">
        <v>8</v>
      </c>
      <c r="T58" s="2">
        <v>45666</v>
      </c>
      <c r="U58" s="2">
        <v>45666</v>
      </c>
      <c r="V58" t="s">
        <v>206</v>
      </c>
      <c r="W58" t="s">
        <v>207</v>
      </c>
      <c r="X58" t="s">
        <v>48</v>
      </c>
      <c r="Y58" t="s">
        <v>33</v>
      </c>
      <c r="Z58" t="s">
        <v>34</v>
      </c>
      <c r="AA58" t="s">
        <v>49</v>
      </c>
      <c r="AB58" s="2">
        <v>45608</v>
      </c>
      <c r="AC58" s="2">
        <v>45641</v>
      </c>
      <c r="AD58" t="s">
        <v>0</v>
      </c>
      <c r="AE58" s="2"/>
      <c r="AF58" s="2"/>
      <c r="AG58" t="s">
        <v>36</v>
      </c>
      <c r="AH58" t="s">
        <v>50</v>
      </c>
      <c r="AI58" s="2">
        <v>45586</v>
      </c>
      <c r="AJ58" s="4">
        <v>4266.3999999999996</v>
      </c>
      <c r="AK58" s="2">
        <v>45662</v>
      </c>
      <c r="AL58" s="2"/>
      <c r="AM58" t="s">
        <v>12</v>
      </c>
      <c r="AN58" s="5">
        <v>34.519972000000003</v>
      </c>
      <c r="AO58" t="s">
        <v>38</v>
      </c>
      <c r="AP58" t="s">
        <v>39</v>
      </c>
      <c r="AQ58" t="s">
        <v>40</v>
      </c>
      <c r="AR58" s="6">
        <v>1</v>
      </c>
      <c r="AS58" s="3">
        <v>20</v>
      </c>
      <c r="AT58" t="s">
        <v>13</v>
      </c>
      <c r="AU58" s="9">
        <f t="shared" si="0"/>
        <v>45662</v>
      </c>
    </row>
    <row r="59" spans="1:47" x14ac:dyDescent="0.2">
      <c r="A59" t="s">
        <v>46</v>
      </c>
      <c r="B59" t="s">
        <v>204</v>
      </c>
      <c r="C59" s="2">
        <v>45546</v>
      </c>
      <c r="D59" t="s">
        <v>23</v>
      </c>
      <c r="E59" t="s">
        <v>24</v>
      </c>
      <c r="F59" t="s">
        <v>0</v>
      </c>
      <c r="G59" t="s">
        <v>0</v>
      </c>
      <c r="H59" t="s">
        <v>3</v>
      </c>
      <c r="I59" t="s">
        <v>4</v>
      </c>
      <c r="J59" t="s">
        <v>227</v>
      </c>
      <c r="K59" s="3">
        <v>0</v>
      </c>
      <c r="L59" t="s">
        <v>27</v>
      </c>
      <c r="M59" t="s">
        <v>27</v>
      </c>
      <c r="N59" t="s">
        <v>27</v>
      </c>
      <c r="O59" t="s">
        <v>154</v>
      </c>
      <c r="P59" t="s">
        <v>149</v>
      </c>
      <c r="Q59" s="3">
        <v>1</v>
      </c>
      <c r="R59" s="4">
        <v>0.73</v>
      </c>
      <c r="S59" t="s">
        <v>8</v>
      </c>
      <c r="T59" s="2">
        <v>45666</v>
      </c>
      <c r="U59" s="2">
        <v>45666</v>
      </c>
      <c r="V59" t="s">
        <v>206</v>
      </c>
      <c r="W59" t="s">
        <v>207</v>
      </c>
      <c r="X59" t="s">
        <v>48</v>
      </c>
      <c r="Y59" t="s">
        <v>33</v>
      </c>
      <c r="Z59" t="s">
        <v>34</v>
      </c>
      <c r="AA59" t="s">
        <v>49</v>
      </c>
      <c r="AB59" s="2">
        <v>45608</v>
      </c>
      <c r="AC59" s="2">
        <v>45641</v>
      </c>
      <c r="AD59" t="s">
        <v>0</v>
      </c>
      <c r="AE59" s="2"/>
      <c r="AF59" s="2"/>
      <c r="AG59" t="s">
        <v>98</v>
      </c>
      <c r="AH59" t="s">
        <v>50</v>
      </c>
      <c r="AI59" s="2">
        <v>45586</v>
      </c>
      <c r="AJ59" s="4">
        <v>0.73</v>
      </c>
      <c r="AK59" s="2">
        <v>45662</v>
      </c>
      <c r="AL59" s="2"/>
      <c r="AM59" t="s">
        <v>12</v>
      </c>
      <c r="AN59" s="5">
        <v>5.9069999999999999E-3</v>
      </c>
      <c r="AO59" t="s">
        <v>38</v>
      </c>
      <c r="AP59" t="s">
        <v>150</v>
      </c>
      <c r="AQ59" t="s">
        <v>122</v>
      </c>
      <c r="AR59" s="6">
        <v>1</v>
      </c>
      <c r="AS59" s="3">
        <v>1</v>
      </c>
      <c r="AT59" t="s">
        <v>13</v>
      </c>
      <c r="AU59" s="9">
        <f t="shared" si="0"/>
        <v>45662</v>
      </c>
    </row>
    <row r="60" spans="1:47" x14ac:dyDescent="0.2">
      <c r="A60" t="s">
        <v>46</v>
      </c>
      <c r="B60" t="s">
        <v>204</v>
      </c>
      <c r="C60" s="2">
        <v>45546</v>
      </c>
      <c r="D60" t="s">
        <v>23</v>
      </c>
      <c r="E60" t="s">
        <v>24</v>
      </c>
      <c r="F60" t="s">
        <v>0</v>
      </c>
      <c r="G60" t="s">
        <v>0</v>
      </c>
      <c r="H60" t="s">
        <v>3</v>
      </c>
      <c r="I60" t="s">
        <v>4</v>
      </c>
      <c r="J60" t="s">
        <v>228</v>
      </c>
      <c r="K60" s="3">
        <v>0</v>
      </c>
      <c r="L60" t="s">
        <v>27</v>
      </c>
      <c r="M60" t="s">
        <v>27</v>
      </c>
      <c r="N60" t="s">
        <v>27</v>
      </c>
      <c r="O60" t="s">
        <v>229</v>
      </c>
      <c r="P60" t="s">
        <v>230</v>
      </c>
      <c r="Q60" s="3">
        <v>3</v>
      </c>
      <c r="R60" s="4">
        <v>4.8</v>
      </c>
      <c r="S60" t="s">
        <v>8</v>
      </c>
      <c r="T60" s="2">
        <v>45666</v>
      </c>
      <c r="U60" s="2">
        <v>45666</v>
      </c>
      <c r="V60" t="s">
        <v>206</v>
      </c>
      <c r="W60" t="s">
        <v>207</v>
      </c>
      <c r="X60" t="s">
        <v>48</v>
      </c>
      <c r="Y60" t="s">
        <v>33</v>
      </c>
      <c r="Z60" t="s">
        <v>34</v>
      </c>
      <c r="AA60" t="s">
        <v>49</v>
      </c>
      <c r="AB60" s="2">
        <v>45608</v>
      </c>
      <c r="AC60" s="2">
        <v>45641</v>
      </c>
      <c r="AD60" t="s">
        <v>0</v>
      </c>
      <c r="AE60" s="2"/>
      <c r="AF60" s="2"/>
      <c r="AG60" t="s">
        <v>56</v>
      </c>
      <c r="AH60" t="s">
        <v>50</v>
      </c>
      <c r="AI60" s="2">
        <v>45586</v>
      </c>
      <c r="AJ60" s="4">
        <v>4.8</v>
      </c>
      <c r="AK60" s="2">
        <v>45662</v>
      </c>
      <c r="AL60" s="2"/>
      <c r="AM60" t="s">
        <v>12</v>
      </c>
      <c r="AN60" s="5">
        <v>3.8837000000000003E-2</v>
      </c>
      <c r="AO60" t="s">
        <v>38</v>
      </c>
      <c r="AP60" t="s">
        <v>128</v>
      </c>
      <c r="AQ60" t="s">
        <v>122</v>
      </c>
      <c r="AR60" s="6">
        <v>1</v>
      </c>
      <c r="AS60" s="3">
        <v>3</v>
      </c>
      <c r="AT60" t="s">
        <v>13</v>
      </c>
      <c r="AU60" s="9">
        <f t="shared" si="0"/>
        <v>45662</v>
      </c>
    </row>
    <row r="61" spans="1:47" x14ac:dyDescent="0.2">
      <c r="A61" t="s">
        <v>46</v>
      </c>
      <c r="B61" t="s">
        <v>204</v>
      </c>
      <c r="C61" s="2">
        <v>45546</v>
      </c>
      <c r="D61" t="s">
        <v>23</v>
      </c>
      <c r="E61" t="s">
        <v>24</v>
      </c>
      <c r="F61" t="s">
        <v>0</v>
      </c>
      <c r="G61" t="s">
        <v>0</v>
      </c>
      <c r="H61" t="s">
        <v>3</v>
      </c>
      <c r="I61" t="s">
        <v>4</v>
      </c>
      <c r="J61" t="s">
        <v>231</v>
      </c>
      <c r="K61" s="3">
        <v>0</v>
      </c>
      <c r="L61" t="s">
        <v>27</v>
      </c>
      <c r="M61" t="s">
        <v>27</v>
      </c>
      <c r="N61" t="s">
        <v>27</v>
      </c>
      <c r="O61" t="s">
        <v>232</v>
      </c>
      <c r="P61" t="s">
        <v>233</v>
      </c>
      <c r="Q61" s="3">
        <v>2</v>
      </c>
      <c r="R61" s="4">
        <v>3.38</v>
      </c>
      <c r="S61" t="s">
        <v>8</v>
      </c>
      <c r="T61" s="2">
        <v>45666</v>
      </c>
      <c r="U61" s="2">
        <v>45666</v>
      </c>
      <c r="V61" t="s">
        <v>206</v>
      </c>
      <c r="W61" t="s">
        <v>207</v>
      </c>
      <c r="X61" t="s">
        <v>48</v>
      </c>
      <c r="Y61" t="s">
        <v>33</v>
      </c>
      <c r="Z61" t="s">
        <v>34</v>
      </c>
      <c r="AA61" t="s">
        <v>49</v>
      </c>
      <c r="AB61" s="2">
        <v>45608</v>
      </c>
      <c r="AC61" s="2">
        <v>45641</v>
      </c>
      <c r="AD61" t="s">
        <v>0</v>
      </c>
      <c r="AE61" s="2"/>
      <c r="AF61" s="2"/>
      <c r="AG61" t="s">
        <v>67</v>
      </c>
      <c r="AH61" t="s">
        <v>50</v>
      </c>
      <c r="AI61" s="2">
        <v>45586</v>
      </c>
      <c r="AJ61" s="4">
        <v>3.38</v>
      </c>
      <c r="AK61" s="2">
        <v>45662</v>
      </c>
      <c r="AL61" s="2"/>
      <c r="AM61" t="s">
        <v>12</v>
      </c>
      <c r="AN61" s="5">
        <v>2.7348000000000001E-2</v>
      </c>
      <c r="AO61" t="s">
        <v>38</v>
      </c>
      <c r="AP61" t="s">
        <v>128</v>
      </c>
      <c r="AQ61" t="s">
        <v>122</v>
      </c>
      <c r="AR61" s="6">
        <v>1</v>
      </c>
      <c r="AS61" s="3">
        <v>2</v>
      </c>
      <c r="AT61" t="s">
        <v>13</v>
      </c>
      <c r="AU61" s="9">
        <f t="shared" si="0"/>
        <v>45662</v>
      </c>
    </row>
    <row r="62" spans="1:47" x14ac:dyDescent="0.2">
      <c r="A62" t="s">
        <v>46</v>
      </c>
      <c r="B62" t="s">
        <v>204</v>
      </c>
      <c r="C62" s="2">
        <v>45546</v>
      </c>
      <c r="D62" t="s">
        <v>23</v>
      </c>
      <c r="E62" t="s">
        <v>24</v>
      </c>
      <c r="F62" t="s">
        <v>0</v>
      </c>
      <c r="G62" t="s">
        <v>0</v>
      </c>
      <c r="H62" t="s">
        <v>3</v>
      </c>
      <c r="I62" t="s">
        <v>4</v>
      </c>
      <c r="J62" t="s">
        <v>234</v>
      </c>
      <c r="K62" s="3">
        <v>0</v>
      </c>
      <c r="L62" t="s">
        <v>27</v>
      </c>
      <c r="M62" t="s">
        <v>27</v>
      </c>
      <c r="N62" t="s">
        <v>27</v>
      </c>
      <c r="O62" t="s">
        <v>235</v>
      </c>
      <c r="P62" t="s">
        <v>236</v>
      </c>
      <c r="Q62" s="3">
        <v>3</v>
      </c>
      <c r="R62" s="4">
        <v>347.25</v>
      </c>
      <c r="S62" t="s">
        <v>8</v>
      </c>
      <c r="T62" s="2">
        <v>45666</v>
      </c>
      <c r="U62" s="2">
        <v>45666</v>
      </c>
      <c r="V62" t="s">
        <v>206</v>
      </c>
      <c r="W62" t="s">
        <v>207</v>
      </c>
      <c r="X62" t="s">
        <v>48</v>
      </c>
      <c r="Y62" t="s">
        <v>33</v>
      </c>
      <c r="Z62" t="s">
        <v>34</v>
      </c>
      <c r="AA62" t="s">
        <v>49</v>
      </c>
      <c r="AB62" s="2">
        <v>45608</v>
      </c>
      <c r="AC62" s="2">
        <v>45641</v>
      </c>
      <c r="AD62" t="s">
        <v>0</v>
      </c>
      <c r="AE62" s="2"/>
      <c r="AF62" s="2"/>
      <c r="AG62" t="s">
        <v>56</v>
      </c>
      <c r="AH62" t="s">
        <v>50</v>
      </c>
      <c r="AI62" s="2">
        <v>45586</v>
      </c>
      <c r="AJ62" s="4">
        <v>347.25</v>
      </c>
      <c r="AK62" s="2">
        <v>45662</v>
      </c>
      <c r="AL62" s="2"/>
      <c r="AM62" t="s">
        <v>12</v>
      </c>
      <c r="AN62" s="5">
        <v>2.8096429999999999</v>
      </c>
      <c r="AO62" t="s">
        <v>38</v>
      </c>
      <c r="AP62" t="s">
        <v>39</v>
      </c>
      <c r="AQ62" t="s">
        <v>40</v>
      </c>
      <c r="AR62" s="6">
        <v>1</v>
      </c>
      <c r="AS62" s="3">
        <v>3</v>
      </c>
      <c r="AT62" t="s">
        <v>13</v>
      </c>
      <c r="AU62" s="9">
        <f t="shared" si="0"/>
        <v>45662</v>
      </c>
    </row>
    <row r="63" spans="1:47" x14ac:dyDescent="0.2">
      <c r="A63" t="s">
        <v>46</v>
      </c>
      <c r="B63" t="s">
        <v>204</v>
      </c>
      <c r="C63" s="2">
        <v>45546</v>
      </c>
      <c r="D63" t="s">
        <v>23</v>
      </c>
      <c r="E63" t="s">
        <v>24</v>
      </c>
      <c r="F63" t="s">
        <v>0</v>
      </c>
      <c r="G63" t="s">
        <v>0</v>
      </c>
      <c r="H63" t="s">
        <v>3</v>
      </c>
      <c r="I63" t="s">
        <v>4</v>
      </c>
      <c r="J63" t="s">
        <v>237</v>
      </c>
      <c r="K63" s="3">
        <v>0</v>
      </c>
      <c r="L63" t="s">
        <v>27</v>
      </c>
      <c r="M63" t="s">
        <v>27</v>
      </c>
      <c r="N63" t="s">
        <v>27</v>
      </c>
      <c r="O63" t="s">
        <v>238</v>
      </c>
      <c r="P63" t="s">
        <v>209</v>
      </c>
      <c r="Q63" s="3">
        <v>5</v>
      </c>
      <c r="R63" s="4">
        <v>126.45</v>
      </c>
      <c r="S63" t="s">
        <v>8</v>
      </c>
      <c r="T63" s="2">
        <v>45666</v>
      </c>
      <c r="U63" s="2">
        <v>45666</v>
      </c>
      <c r="V63" t="s">
        <v>206</v>
      </c>
      <c r="W63" t="s">
        <v>207</v>
      </c>
      <c r="X63" t="s">
        <v>48</v>
      </c>
      <c r="Y63" t="s">
        <v>33</v>
      </c>
      <c r="Z63" t="s">
        <v>34</v>
      </c>
      <c r="AA63" t="s">
        <v>49</v>
      </c>
      <c r="AB63" s="2">
        <v>45608</v>
      </c>
      <c r="AC63" s="2">
        <v>45641</v>
      </c>
      <c r="AD63" t="s">
        <v>0</v>
      </c>
      <c r="AE63" s="2"/>
      <c r="AF63" s="2"/>
      <c r="AG63" t="s">
        <v>141</v>
      </c>
      <c r="AH63" t="s">
        <v>50</v>
      </c>
      <c r="AI63" s="2">
        <v>45586</v>
      </c>
      <c r="AJ63" s="4">
        <v>126.45</v>
      </c>
      <c r="AK63" s="2">
        <v>45662</v>
      </c>
      <c r="AL63" s="2"/>
      <c r="AM63" t="s">
        <v>12</v>
      </c>
      <c r="AN63" s="5">
        <v>1.023123</v>
      </c>
      <c r="AO63" t="s">
        <v>38</v>
      </c>
      <c r="AP63" t="s">
        <v>39</v>
      </c>
      <c r="AQ63" t="s">
        <v>122</v>
      </c>
      <c r="AR63" s="6">
        <v>1</v>
      </c>
      <c r="AS63" s="3">
        <v>5</v>
      </c>
      <c r="AT63" t="s">
        <v>13</v>
      </c>
      <c r="AU63" s="9">
        <f t="shared" si="0"/>
        <v>45662</v>
      </c>
    </row>
    <row r="64" spans="1:47" x14ac:dyDescent="0.2">
      <c r="A64" t="s">
        <v>46</v>
      </c>
      <c r="B64" t="s">
        <v>204</v>
      </c>
      <c r="C64" s="2">
        <v>45546</v>
      </c>
      <c r="D64" t="s">
        <v>23</v>
      </c>
      <c r="E64" t="s">
        <v>24</v>
      </c>
      <c r="F64" t="s">
        <v>0</v>
      </c>
      <c r="G64" t="s">
        <v>0</v>
      </c>
      <c r="H64" t="s">
        <v>3</v>
      </c>
      <c r="I64" t="s">
        <v>4</v>
      </c>
      <c r="J64" t="s">
        <v>239</v>
      </c>
      <c r="K64" s="3">
        <v>0</v>
      </c>
      <c r="L64" t="s">
        <v>27</v>
      </c>
      <c r="M64" t="s">
        <v>27</v>
      </c>
      <c r="N64" t="s">
        <v>27</v>
      </c>
      <c r="O64" t="s">
        <v>240</v>
      </c>
      <c r="P64" t="s">
        <v>241</v>
      </c>
      <c r="Q64" s="3">
        <v>1</v>
      </c>
      <c r="R64" s="4">
        <v>24.32</v>
      </c>
      <c r="S64" t="s">
        <v>8</v>
      </c>
      <c r="T64" s="2">
        <v>45666</v>
      </c>
      <c r="U64" s="2">
        <v>45666</v>
      </c>
      <c r="V64" t="s">
        <v>206</v>
      </c>
      <c r="W64" t="s">
        <v>207</v>
      </c>
      <c r="X64" t="s">
        <v>48</v>
      </c>
      <c r="Y64" t="s">
        <v>33</v>
      </c>
      <c r="Z64" t="s">
        <v>34</v>
      </c>
      <c r="AA64" t="s">
        <v>49</v>
      </c>
      <c r="AB64" s="2">
        <v>45608</v>
      </c>
      <c r="AC64" s="2">
        <v>45641</v>
      </c>
      <c r="AD64" t="s">
        <v>0</v>
      </c>
      <c r="AE64" s="2"/>
      <c r="AF64" s="2"/>
      <c r="AG64" t="s">
        <v>98</v>
      </c>
      <c r="AH64" t="s">
        <v>50</v>
      </c>
      <c r="AI64" s="2">
        <v>45586</v>
      </c>
      <c r="AJ64" s="4">
        <v>24.32</v>
      </c>
      <c r="AK64" s="2">
        <v>45662</v>
      </c>
      <c r="AL64" s="2"/>
      <c r="AM64" t="s">
        <v>12</v>
      </c>
      <c r="AN64" s="5">
        <v>0.19677600000000001</v>
      </c>
      <c r="AO64" t="s">
        <v>38</v>
      </c>
      <c r="AP64" t="s">
        <v>121</v>
      </c>
      <c r="AQ64" t="s">
        <v>122</v>
      </c>
      <c r="AR64" s="6">
        <v>1</v>
      </c>
      <c r="AS64" s="3">
        <v>1</v>
      </c>
      <c r="AT64" t="s">
        <v>13</v>
      </c>
      <c r="AU64" s="9">
        <f t="shared" si="0"/>
        <v>45662</v>
      </c>
    </row>
    <row r="65" spans="1:47" x14ac:dyDescent="0.2">
      <c r="A65" t="s">
        <v>75</v>
      </c>
      <c r="B65" t="s">
        <v>204</v>
      </c>
      <c r="C65" s="2">
        <v>45546</v>
      </c>
      <c r="D65" t="s">
        <v>23</v>
      </c>
      <c r="E65" t="s">
        <v>24</v>
      </c>
      <c r="F65" t="s">
        <v>0</v>
      </c>
      <c r="G65" t="s">
        <v>0</v>
      </c>
      <c r="H65" t="s">
        <v>3</v>
      </c>
      <c r="I65" t="s">
        <v>4</v>
      </c>
      <c r="J65" t="s">
        <v>242</v>
      </c>
      <c r="K65" s="3">
        <v>0</v>
      </c>
      <c r="L65" t="s">
        <v>27</v>
      </c>
      <c r="M65" t="s">
        <v>27</v>
      </c>
      <c r="N65" t="s">
        <v>27</v>
      </c>
      <c r="O65" t="s">
        <v>164</v>
      </c>
      <c r="P65" t="s">
        <v>165</v>
      </c>
      <c r="Q65" s="3">
        <v>2</v>
      </c>
      <c r="R65" s="4">
        <v>19.100000000000001</v>
      </c>
      <c r="S65" t="s">
        <v>8</v>
      </c>
      <c r="T65" s="2">
        <v>45666</v>
      </c>
      <c r="U65" s="2">
        <v>45666</v>
      </c>
      <c r="V65" t="s">
        <v>206</v>
      </c>
      <c r="W65" t="s">
        <v>207</v>
      </c>
      <c r="X65" t="s">
        <v>80</v>
      </c>
      <c r="Y65" t="s">
        <v>33</v>
      </c>
      <c r="Z65" t="s">
        <v>34</v>
      </c>
      <c r="AA65" t="s">
        <v>81</v>
      </c>
      <c r="AB65" s="2">
        <v>45621</v>
      </c>
      <c r="AC65" s="2">
        <v>45665</v>
      </c>
      <c r="AD65" t="s">
        <v>0</v>
      </c>
      <c r="AE65" s="2"/>
      <c r="AF65" s="2"/>
      <c r="AG65" t="s">
        <v>67</v>
      </c>
      <c r="AH65" t="s">
        <v>83</v>
      </c>
      <c r="AI65" s="2">
        <v>45604</v>
      </c>
      <c r="AJ65" s="4">
        <v>19.100000000000001</v>
      </c>
      <c r="AK65" s="2">
        <v>45675</v>
      </c>
      <c r="AL65" s="2"/>
      <c r="AM65" t="s">
        <v>12</v>
      </c>
      <c r="AN65" s="5">
        <v>0.204537</v>
      </c>
      <c r="AO65" t="s">
        <v>38</v>
      </c>
      <c r="AP65" t="s">
        <v>39</v>
      </c>
      <c r="AQ65" t="s">
        <v>122</v>
      </c>
      <c r="AR65" s="6">
        <v>1</v>
      </c>
      <c r="AS65" s="3">
        <v>2</v>
      </c>
      <c r="AT65" t="s">
        <v>13</v>
      </c>
      <c r="AU65" s="9">
        <f t="shared" si="0"/>
        <v>45675</v>
      </c>
    </row>
    <row r="66" spans="1:47" x14ac:dyDescent="0.2">
      <c r="A66" t="s">
        <v>46</v>
      </c>
      <c r="B66" t="s">
        <v>204</v>
      </c>
      <c r="C66" s="2">
        <v>45546</v>
      </c>
      <c r="D66" t="s">
        <v>23</v>
      </c>
      <c r="E66" t="s">
        <v>24</v>
      </c>
      <c r="F66" t="s">
        <v>0</v>
      </c>
      <c r="G66" t="s">
        <v>0</v>
      </c>
      <c r="H66" t="s">
        <v>3</v>
      </c>
      <c r="I66" t="s">
        <v>4</v>
      </c>
      <c r="J66" t="s">
        <v>243</v>
      </c>
      <c r="K66" s="3">
        <v>0</v>
      </c>
      <c r="L66" t="s">
        <v>27</v>
      </c>
      <c r="M66" t="s">
        <v>27</v>
      </c>
      <c r="N66" t="s">
        <v>27</v>
      </c>
      <c r="O66" t="s">
        <v>167</v>
      </c>
      <c r="P66" t="s">
        <v>168</v>
      </c>
      <c r="Q66" s="3">
        <v>1</v>
      </c>
      <c r="R66" s="4">
        <v>267.66000000000003</v>
      </c>
      <c r="S66" t="s">
        <v>8</v>
      </c>
      <c r="T66" s="2">
        <v>45666</v>
      </c>
      <c r="U66" s="2">
        <v>45666</v>
      </c>
      <c r="V66" t="s">
        <v>206</v>
      </c>
      <c r="W66" t="s">
        <v>207</v>
      </c>
      <c r="X66" t="s">
        <v>48</v>
      </c>
      <c r="Y66" t="s">
        <v>33</v>
      </c>
      <c r="Z66" t="s">
        <v>34</v>
      </c>
      <c r="AA66" t="s">
        <v>49</v>
      </c>
      <c r="AB66" s="2">
        <v>45608</v>
      </c>
      <c r="AC66" s="2">
        <v>45641</v>
      </c>
      <c r="AD66" t="s">
        <v>0</v>
      </c>
      <c r="AE66" s="2"/>
      <c r="AF66" s="2"/>
      <c r="AG66" t="s">
        <v>98</v>
      </c>
      <c r="AH66" t="s">
        <v>50</v>
      </c>
      <c r="AI66" s="2">
        <v>45586</v>
      </c>
      <c r="AJ66" s="4">
        <v>267.66000000000003</v>
      </c>
      <c r="AK66" s="2">
        <v>45662</v>
      </c>
      <c r="AL66" s="2"/>
      <c r="AM66" t="s">
        <v>12</v>
      </c>
      <c r="AN66" s="5">
        <v>2.16567</v>
      </c>
      <c r="AO66" t="s">
        <v>38</v>
      </c>
      <c r="AP66" t="s">
        <v>39</v>
      </c>
      <c r="AQ66" t="s">
        <v>169</v>
      </c>
      <c r="AR66" s="6">
        <v>1</v>
      </c>
      <c r="AS66" s="3">
        <v>1</v>
      </c>
      <c r="AT66" t="s">
        <v>13</v>
      </c>
      <c r="AU66" s="9">
        <f t="shared" si="0"/>
        <v>45662</v>
      </c>
    </row>
    <row r="67" spans="1:47" x14ac:dyDescent="0.2">
      <c r="A67" t="s">
        <v>0</v>
      </c>
      <c r="B67" t="s">
        <v>204</v>
      </c>
      <c r="C67" s="2">
        <v>45546</v>
      </c>
      <c r="D67" t="s">
        <v>0</v>
      </c>
      <c r="E67" t="s">
        <v>24</v>
      </c>
      <c r="F67" t="s">
        <v>0</v>
      </c>
      <c r="G67" t="s">
        <v>0</v>
      </c>
      <c r="H67" t="s">
        <v>3</v>
      </c>
      <c r="I67" t="s">
        <v>4</v>
      </c>
      <c r="J67" t="s">
        <v>244</v>
      </c>
      <c r="K67" s="3">
        <v>10</v>
      </c>
      <c r="L67" t="s">
        <v>0</v>
      </c>
      <c r="M67" t="s">
        <v>0</v>
      </c>
      <c r="N67" t="s">
        <v>0</v>
      </c>
      <c r="O67" t="s">
        <v>54</v>
      </c>
      <c r="P67" t="s">
        <v>55</v>
      </c>
      <c r="Q67" s="3">
        <v>10</v>
      </c>
      <c r="R67" s="4">
        <v>2249.6</v>
      </c>
      <c r="S67" t="s">
        <v>8</v>
      </c>
      <c r="T67" s="2">
        <v>45666</v>
      </c>
      <c r="U67" s="2">
        <v>45666</v>
      </c>
      <c r="V67" t="s">
        <v>206</v>
      </c>
      <c r="W67" t="s">
        <v>207</v>
      </c>
      <c r="X67" t="s">
        <v>0</v>
      </c>
      <c r="Y67" t="s">
        <v>0</v>
      </c>
      <c r="Z67" t="s">
        <v>0</v>
      </c>
      <c r="AA67" t="s">
        <v>0</v>
      </c>
      <c r="AB67" s="2"/>
      <c r="AC67" s="2"/>
      <c r="AD67" t="s">
        <v>0</v>
      </c>
      <c r="AE67" s="2"/>
      <c r="AF67" s="2"/>
      <c r="AG67" t="s">
        <v>11</v>
      </c>
      <c r="AH67" t="s">
        <v>0</v>
      </c>
      <c r="AI67" s="2"/>
      <c r="AJ67" s="4">
        <v>0</v>
      </c>
      <c r="AK67" s="2"/>
      <c r="AL67" s="2"/>
      <c r="AM67" t="s">
        <v>12</v>
      </c>
      <c r="AN67" s="5">
        <v>0</v>
      </c>
      <c r="AO67" t="s">
        <v>0</v>
      </c>
      <c r="AP67" t="s">
        <v>0</v>
      </c>
      <c r="AQ67" t="s">
        <v>0</v>
      </c>
      <c r="AR67" s="6">
        <v>1</v>
      </c>
      <c r="AS67" s="3">
        <v>10</v>
      </c>
      <c r="AT67" t="s">
        <v>13</v>
      </c>
      <c r="AU67" s="9">
        <f t="shared" ref="AU67:AU130" si="1">IF(AK67="",T67,AK67)</f>
        <v>45666</v>
      </c>
    </row>
    <row r="68" spans="1:47" x14ac:dyDescent="0.2">
      <c r="A68" t="s">
        <v>46</v>
      </c>
      <c r="B68" t="s">
        <v>204</v>
      </c>
      <c r="C68" s="2">
        <v>45546</v>
      </c>
      <c r="D68" t="s">
        <v>23</v>
      </c>
      <c r="E68" t="s">
        <v>24</v>
      </c>
      <c r="F68" t="s">
        <v>0</v>
      </c>
      <c r="G68" t="s">
        <v>0</v>
      </c>
      <c r="H68" t="s">
        <v>3</v>
      </c>
      <c r="I68" t="s">
        <v>4</v>
      </c>
      <c r="J68" t="s">
        <v>245</v>
      </c>
      <c r="K68" s="3">
        <v>0</v>
      </c>
      <c r="L68" t="s">
        <v>27</v>
      </c>
      <c r="M68" t="s">
        <v>27</v>
      </c>
      <c r="N68" t="s">
        <v>27</v>
      </c>
      <c r="O68" t="s">
        <v>246</v>
      </c>
      <c r="P68" t="s">
        <v>247</v>
      </c>
      <c r="Q68" s="3">
        <v>1</v>
      </c>
      <c r="R68" s="4">
        <v>8.1999999999999993</v>
      </c>
      <c r="S68" t="s">
        <v>8</v>
      </c>
      <c r="T68" s="2">
        <v>45666</v>
      </c>
      <c r="U68" s="2">
        <v>45666</v>
      </c>
      <c r="V68" t="s">
        <v>206</v>
      </c>
      <c r="W68" t="s">
        <v>207</v>
      </c>
      <c r="X68" t="s">
        <v>48</v>
      </c>
      <c r="Y68" t="s">
        <v>33</v>
      </c>
      <c r="Z68" t="s">
        <v>34</v>
      </c>
      <c r="AA68" t="s">
        <v>49</v>
      </c>
      <c r="AB68" s="2">
        <v>45608</v>
      </c>
      <c r="AC68" s="2">
        <v>45641</v>
      </c>
      <c r="AD68" t="s">
        <v>0</v>
      </c>
      <c r="AE68" s="2"/>
      <c r="AF68" s="2"/>
      <c r="AG68" t="s">
        <v>98</v>
      </c>
      <c r="AH68" t="s">
        <v>50</v>
      </c>
      <c r="AI68" s="2">
        <v>45586</v>
      </c>
      <c r="AJ68" s="4">
        <v>8.1999999999999993</v>
      </c>
      <c r="AK68" s="2">
        <v>45662</v>
      </c>
      <c r="AL68" s="2"/>
      <c r="AM68" t="s">
        <v>12</v>
      </c>
      <c r="AN68" s="5">
        <v>6.6347000000000003E-2</v>
      </c>
      <c r="AO68" t="s">
        <v>38</v>
      </c>
      <c r="AP68" t="s">
        <v>128</v>
      </c>
      <c r="AQ68" t="s">
        <v>122</v>
      </c>
      <c r="AR68" s="6">
        <v>1</v>
      </c>
      <c r="AS68" s="3">
        <v>1</v>
      </c>
      <c r="AT68" t="s">
        <v>13</v>
      </c>
      <c r="AU68" s="9">
        <f t="shared" si="1"/>
        <v>45662</v>
      </c>
    </row>
    <row r="69" spans="1:47" x14ac:dyDescent="0.2">
      <c r="A69" t="s">
        <v>75</v>
      </c>
      <c r="B69" t="s">
        <v>204</v>
      </c>
      <c r="C69" s="2">
        <v>45546</v>
      </c>
      <c r="D69" t="s">
        <v>23</v>
      </c>
      <c r="E69" t="s">
        <v>24</v>
      </c>
      <c r="F69" t="s">
        <v>0</v>
      </c>
      <c r="G69" t="s">
        <v>0</v>
      </c>
      <c r="H69" t="s">
        <v>3</v>
      </c>
      <c r="I69" t="s">
        <v>4</v>
      </c>
      <c r="J69" t="s">
        <v>248</v>
      </c>
      <c r="K69" s="3">
        <v>0</v>
      </c>
      <c r="L69" t="s">
        <v>27</v>
      </c>
      <c r="M69" t="s">
        <v>27</v>
      </c>
      <c r="N69" t="s">
        <v>27</v>
      </c>
      <c r="O69" t="s">
        <v>249</v>
      </c>
      <c r="P69" t="s">
        <v>250</v>
      </c>
      <c r="Q69" s="3">
        <v>1</v>
      </c>
      <c r="R69" s="4">
        <v>87.65</v>
      </c>
      <c r="S69" t="s">
        <v>8</v>
      </c>
      <c r="T69" s="2">
        <v>45666</v>
      </c>
      <c r="U69" s="2">
        <v>45666</v>
      </c>
      <c r="V69" t="s">
        <v>206</v>
      </c>
      <c r="W69" t="s">
        <v>207</v>
      </c>
      <c r="X69" t="s">
        <v>80</v>
      </c>
      <c r="Y69" t="s">
        <v>33</v>
      </c>
      <c r="Z69" t="s">
        <v>34</v>
      </c>
      <c r="AA69" t="s">
        <v>81</v>
      </c>
      <c r="AB69" s="2">
        <v>45621</v>
      </c>
      <c r="AC69" s="2">
        <v>45665</v>
      </c>
      <c r="AD69" t="s">
        <v>0</v>
      </c>
      <c r="AE69" s="2"/>
      <c r="AF69" s="2"/>
      <c r="AG69" t="s">
        <v>98</v>
      </c>
      <c r="AH69" t="s">
        <v>83</v>
      </c>
      <c r="AI69" s="2">
        <v>45604</v>
      </c>
      <c r="AJ69" s="4">
        <v>87.65</v>
      </c>
      <c r="AK69" s="2">
        <v>45675</v>
      </c>
      <c r="AL69" s="2"/>
      <c r="AM69" t="s">
        <v>12</v>
      </c>
      <c r="AN69" s="5">
        <v>0.93862299999999999</v>
      </c>
      <c r="AO69" t="s">
        <v>38</v>
      </c>
      <c r="AP69" t="s">
        <v>39</v>
      </c>
      <c r="AQ69" t="s">
        <v>122</v>
      </c>
      <c r="AR69" s="6">
        <v>1</v>
      </c>
      <c r="AS69" s="3">
        <v>1</v>
      </c>
      <c r="AT69" t="s">
        <v>13</v>
      </c>
      <c r="AU69" s="9">
        <f t="shared" si="1"/>
        <v>45675</v>
      </c>
    </row>
    <row r="70" spans="1:47" x14ac:dyDescent="0.2">
      <c r="A70" t="s">
        <v>251</v>
      </c>
      <c r="B70" t="s">
        <v>252</v>
      </c>
      <c r="C70" s="2">
        <v>45547</v>
      </c>
      <c r="D70" t="s">
        <v>59</v>
      </c>
      <c r="E70" t="s">
        <v>24</v>
      </c>
      <c r="F70" t="s">
        <v>0</v>
      </c>
      <c r="G70" t="s">
        <v>0</v>
      </c>
      <c r="H70" t="s">
        <v>60</v>
      </c>
      <c r="I70" t="s">
        <v>61</v>
      </c>
      <c r="J70" t="s">
        <v>253</v>
      </c>
      <c r="K70" s="3">
        <v>0</v>
      </c>
      <c r="L70" t="s">
        <v>27</v>
      </c>
      <c r="M70" t="s">
        <v>27</v>
      </c>
      <c r="N70" t="s">
        <v>27</v>
      </c>
      <c r="O70" t="s">
        <v>109</v>
      </c>
      <c r="P70" t="s">
        <v>110</v>
      </c>
      <c r="Q70" s="3">
        <v>10</v>
      </c>
      <c r="R70" s="4">
        <v>153.1</v>
      </c>
      <c r="S70" t="s">
        <v>8</v>
      </c>
      <c r="T70" s="2">
        <v>45622</v>
      </c>
      <c r="U70" s="2">
        <v>45622</v>
      </c>
      <c r="V70" t="s">
        <v>254</v>
      </c>
      <c r="W70" t="s">
        <v>255</v>
      </c>
      <c r="X70" t="s">
        <v>256</v>
      </c>
      <c r="Y70" t="s">
        <v>33</v>
      </c>
      <c r="Z70" t="s">
        <v>34</v>
      </c>
      <c r="AA70" t="s">
        <v>257</v>
      </c>
      <c r="AB70" s="2">
        <v>45604</v>
      </c>
      <c r="AC70" s="2">
        <v>45626</v>
      </c>
      <c r="AD70" t="s">
        <v>0</v>
      </c>
      <c r="AE70" s="2">
        <v>45607</v>
      </c>
      <c r="AF70" s="2"/>
      <c r="AG70" t="s">
        <v>127</v>
      </c>
      <c r="AH70" t="s">
        <v>258</v>
      </c>
      <c r="AI70" s="2">
        <v>45609</v>
      </c>
      <c r="AJ70" s="4">
        <v>153.1</v>
      </c>
      <c r="AK70" s="2">
        <v>45631</v>
      </c>
      <c r="AL70" s="2"/>
      <c r="AM70" t="s">
        <v>12</v>
      </c>
      <c r="AN70" s="5">
        <v>1.7817210000000001</v>
      </c>
      <c r="AO70" t="s">
        <v>38</v>
      </c>
      <c r="AP70" t="s">
        <v>39</v>
      </c>
      <c r="AQ70" t="s">
        <v>74</v>
      </c>
      <c r="AR70" s="6">
        <v>1</v>
      </c>
      <c r="AS70" s="3">
        <v>10</v>
      </c>
      <c r="AT70" t="s">
        <v>13</v>
      </c>
      <c r="AU70" s="9">
        <f t="shared" si="1"/>
        <v>45631</v>
      </c>
    </row>
    <row r="71" spans="1:47" x14ac:dyDescent="0.2">
      <c r="A71" t="s">
        <v>251</v>
      </c>
      <c r="B71" t="s">
        <v>252</v>
      </c>
      <c r="C71" s="2">
        <v>45547</v>
      </c>
      <c r="D71" t="s">
        <v>59</v>
      </c>
      <c r="E71" t="s">
        <v>24</v>
      </c>
      <c r="F71" t="s">
        <v>0</v>
      </c>
      <c r="G71" t="s">
        <v>0</v>
      </c>
      <c r="H71" t="s">
        <v>60</v>
      </c>
      <c r="I71" t="s">
        <v>61</v>
      </c>
      <c r="J71" t="s">
        <v>259</v>
      </c>
      <c r="K71" s="3">
        <v>0</v>
      </c>
      <c r="L71" t="s">
        <v>27</v>
      </c>
      <c r="M71" t="s">
        <v>27</v>
      </c>
      <c r="N71" t="s">
        <v>27</v>
      </c>
      <c r="O71" t="s">
        <v>118</v>
      </c>
      <c r="P71" t="s">
        <v>119</v>
      </c>
      <c r="Q71" s="3">
        <v>4</v>
      </c>
      <c r="R71" s="4">
        <v>58.2</v>
      </c>
      <c r="S71" t="s">
        <v>8</v>
      </c>
      <c r="T71" s="2">
        <v>45622</v>
      </c>
      <c r="U71" s="2">
        <v>45622</v>
      </c>
      <c r="V71" t="s">
        <v>254</v>
      </c>
      <c r="W71" t="s">
        <v>255</v>
      </c>
      <c r="X71" t="s">
        <v>256</v>
      </c>
      <c r="Y71" t="s">
        <v>33</v>
      </c>
      <c r="Z71" t="s">
        <v>34</v>
      </c>
      <c r="AA71" t="s">
        <v>257</v>
      </c>
      <c r="AB71" s="2">
        <v>45604</v>
      </c>
      <c r="AC71" s="2">
        <v>45626</v>
      </c>
      <c r="AD71" t="s">
        <v>0</v>
      </c>
      <c r="AE71" s="2">
        <v>45607</v>
      </c>
      <c r="AF71" s="2"/>
      <c r="AG71" t="s">
        <v>44</v>
      </c>
      <c r="AH71" t="s">
        <v>258</v>
      </c>
      <c r="AI71" s="2">
        <v>45609</v>
      </c>
      <c r="AJ71" s="4">
        <v>58.2</v>
      </c>
      <c r="AK71" s="2">
        <v>45631</v>
      </c>
      <c r="AL71" s="2"/>
      <c r="AM71" t="s">
        <v>12</v>
      </c>
      <c r="AN71" s="5">
        <v>0.67730999999999997</v>
      </c>
      <c r="AO71" t="s">
        <v>38</v>
      </c>
      <c r="AP71" t="s">
        <v>121</v>
      </c>
      <c r="AQ71" t="s">
        <v>74</v>
      </c>
      <c r="AR71" s="6">
        <v>1</v>
      </c>
      <c r="AS71" s="3">
        <v>4</v>
      </c>
      <c r="AT71" t="s">
        <v>13</v>
      </c>
      <c r="AU71" s="9">
        <f t="shared" si="1"/>
        <v>45631</v>
      </c>
    </row>
    <row r="72" spans="1:47" x14ac:dyDescent="0.2">
      <c r="A72" t="s">
        <v>251</v>
      </c>
      <c r="B72" t="s">
        <v>252</v>
      </c>
      <c r="C72" s="2">
        <v>45547</v>
      </c>
      <c r="D72" t="s">
        <v>59</v>
      </c>
      <c r="E72" t="s">
        <v>24</v>
      </c>
      <c r="F72" t="s">
        <v>0</v>
      </c>
      <c r="G72" t="s">
        <v>0</v>
      </c>
      <c r="H72" t="s">
        <v>60</v>
      </c>
      <c r="I72" t="s">
        <v>61</v>
      </c>
      <c r="J72" t="s">
        <v>260</v>
      </c>
      <c r="K72" s="3">
        <v>0</v>
      </c>
      <c r="L72" t="s">
        <v>27</v>
      </c>
      <c r="M72" t="s">
        <v>27</v>
      </c>
      <c r="N72" t="s">
        <v>27</v>
      </c>
      <c r="O72" t="s">
        <v>211</v>
      </c>
      <c r="P72" t="s">
        <v>212</v>
      </c>
      <c r="Q72" s="3">
        <v>3</v>
      </c>
      <c r="R72" s="4">
        <v>46.86</v>
      </c>
      <c r="S72" t="s">
        <v>8</v>
      </c>
      <c r="T72" s="2">
        <v>45622</v>
      </c>
      <c r="U72" s="2">
        <v>45622</v>
      </c>
      <c r="V72" t="s">
        <v>254</v>
      </c>
      <c r="W72" t="s">
        <v>255</v>
      </c>
      <c r="X72" t="s">
        <v>256</v>
      </c>
      <c r="Y72" t="s">
        <v>33</v>
      </c>
      <c r="Z72" t="s">
        <v>34</v>
      </c>
      <c r="AA72" t="s">
        <v>257</v>
      </c>
      <c r="AB72" s="2">
        <v>45604</v>
      </c>
      <c r="AC72" s="2">
        <v>45626</v>
      </c>
      <c r="AD72" t="s">
        <v>0</v>
      </c>
      <c r="AE72" s="2">
        <v>45607</v>
      </c>
      <c r="AF72" s="2"/>
      <c r="AG72" t="s">
        <v>56</v>
      </c>
      <c r="AH72" t="s">
        <v>258</v>
      </c>
      <c r="AI72" s="2">
        <v>45609</v>
      </c>
      <c r="AJ72" s="4">
        <v>46.86</v>
      </c>
      <c r="AK72" s="2">
        <v>45631</v>
      </c>
      <c r="AL72" s="2"/>
      <c r="AM72" t="s">
        <v>12</v>
      </c>
      <c r="AN72" s="5">
        <v>0.54533900000000002</v>
      </c>
      <c r="AO72" t="s">
        <v>38</v>
      </c>
      <c r="AP72" t="s">
        <v>213</v>
      </c>
      <c r="AQ72" t="s">
        <v>74</v>
      </c>
      <c r="AR72" s="6">
        <v>1</v>
      </c>
      <c r="AS72" s="3">
        <v>3</v>
      </c>
      <c r="AT72" t="s">
        <v>13</v>
      </c>
      <c r="AU72" s="9">
        <f t="shared" si="1"/>
        <v>45631</v>
      </c>
    </row>
    <row r="73" spans="1:47" x14ac:dyDescent="0.2">
      <c r="A73" t="s">
        <v>251</v>
      </c>
      <c r="B73" t="s">
        <v>252</v>
      </c>
      <c r="C73" s="2">
        <v>45547</v>
      </c>
      <c r="D73" t="s">
        <v>59</v>
      </c>
      <c r="E73" t="s">
        <v>24</v>
      </c>
      <c r="F73" t="s">
        <v>0</v>
      </c>
      <c r="G73" t="s">
        <v>0</v>
      </c>
      <c r="H73" t="s">
        <v>60</v>
      </c>
      <c r="I73" t="s">
        <v>61</v>
      </c>
      <c r="J73" t="s">
        <v>186</v>
      </c>
      <c r="K73" s="3">
        <v>0</v>
      </c>
      <c r="L73" t="s">
        <v>27</v>
      </c>
      <c r="M73" t="s">
        <v>27</v>
      </c>
      <c r="N73" t="s">
        <v>27</v>
      </c>
      <c r="O73" t="s">
        <v>215</v>
      </c>
      <c r="P73" t="s">
        <v>216</v>
      </c>
      <c r="Q73" s="3">
        <v>9</v>
      </c>
      <c r="R73" s="4">
        <v>3.42</v>
      </c>
      <c r="S73" t="s">
        <v>8</v>
      </c>
      <c r="T73" s="2">
        <v>45622</v>
      </c>
      <c r="U73" s="2">
        <v>45622</v>
      </c>
      <c r="V73" t="s">
        <v>254</v>
      </c>
      <c r="W73" t="s">
        <v>255</v>
      </c>
      <c r="X73" t="s">
        <v>256</v>
      </c>
      <c r="Y73" t="s">
        <v>33</v>
      </c>
      <c r="Z73" t="s">
        <v>34</v>
      </c>
      <c r="AA73" t="s">
        <v>257</v>
      </c>
      <c r="AB73" s="2">
        <v>45604</v>
      </c>
      <c r="AC73" s="2">
        <v>45626</v>
      </c>
      <c r="AD73" t="s">
        <v>0</v>
      </c>
      <c r="AE73" s="2">
        <v>45607</v>
      </c>
      <c r="AF73" s="2"/>
      <c r="AG73" t="s">
        <v>261</v>
      </c>
      <c r="AH73" t="s">
        <v>258</v>
      </c>
      <c r="AI73" s="2">
        <v>45609</v>
      </c>
      <c r="AJ73" s="4">
        <v>3.42</v>
      </c>
      <c r="AK73" s="2">
        <v>45631</v>
      </c>
      <c r="AL73" s="2"/>
      <c r="AM73" t="s">
        <v>12</v>
      </c>
      <c r="AN73" s="5">
        <v>3.9801000000000003E-2</v>
      </c>
      <c r="AO73" t="s">
        <v>38</v>
      </c>
      <c r="AP73" t="s">
        <v>128</v>
      </c>
      <c r="AQ73" t="s">
        <v>74</v>
      </c>
      <c r="AR73" s="6">
        <v>1</v>
      </c>
      <c r="AS73" s="3">
        <v>9</v>
      </c>
      <c r="AT73" t="s">
        <v>13</v>
      </c>
      <c r="AU73" s="9">
        <f t="shared" si="1"/>
        <v>45631</v>
      </c>
    </row>
    <row r="74" spans="1:47" x14ac:dyDescent="0.2">
      <c r="A74" t="s">
        <v>251</v>
      </c>
      <c r="B74" t="s">
        <v>252</v>
      </c>
      <c r="C74" s="2">
        <v>45547</v>
      </c>
      <c r="D74" t="s">
        <v>59</v>
      </c>
      <c r="E74" t="s">
        <v>24</v>
      </c>
      <c r="F74" t="s">
        <v>0</v>
      </c>
      <c r="G74" t="s">
        <v>0</v>
      </c>
      <c r="H74" t="s">
        <v>60</v>
      </c>
      <c r="I74" t="s">
        <v>61</v>
      </c>
      <c r="J74" t="s">
        <v>188</v>
      </c>
      <c r="K74" s="3">
        <v>0</v>
      </c>
      <c r="L74" t="s">
        <v>27</v>
      </c>
      <c r="M74" t="s">
        <v>27</v>
      </c>
      <c r="N74" t="s">
        <v>27</v>
      </c>
      <c r="O74" t="s">
        <v>200</v>
      </c>
      <c r="P74" t="s">
        <v>201</v>
      </c>
      <c r="Q74" s="3">
        <v>1</v>
      </c>
      <c r="R74" s="4">
        <v>0.38</v>
      </c>
      <c r="S74" t="s">
        <v>8</v>
      </c>
      <c r="T74" s="2">
        <v>45622</v>
      </c>
      <c r="U74" s="2">
        <v>45622</v>
      </c>
      <c r="V74" t="s">
        <v>254</v>
      </c>
      <c r="W74" t="s">
        <v>255</v>
      </c>
      <c r="X74" t="s">
        <v>256</v>
      </c>
      <c r="Y74" t="s">
        <v>33</v>
      </c>
      <c r="Z74" t="s">
        <v>34</v>
      </c>
      <c r="AA74" t="s">
        <v>257</v>
      </c>
      <c r="AB74" s="2">
        <v>45604</v>
      </c>
      <c r="AC74" s="2">
        <v>45626</v>
      </c>
      <c r="AD74" t="s">
        <v>0</v>
      </c>
      <c r="AE74" s="2">
        <v>45607</v>
      </c>
      <c r="AF74" s="2"/>
      <c r="AG74" t="s">
        <v>98</v>
      </c>
      <c r="AH74" t="s">
        <v>258</v>
      </c>
      <c r="AI74" s="2">
        <v>45609</v>
      </c>
      <c r="AJ74" s="4">
        <v>0.38</v>
      </c>
      <c r="AK74" s="2">
        <v>45631</v>
      </c>
      <c r="AL74" s="2"/>
      <c r="AM74" t="s">
        <v>12</v>
      </c>
      <c r="AN74" s="5">
        <v>4.4219999999999997E-3</v>
      </c>
      <c r="AO74" t="s">
        <v>38</v>
      </c>
      <c r="AP74" t="s">
        <v>128</v>
      </c>
      <c r="AQ74" t="s">
        <v>74</v>
      </c>
      <c r="AR74" s="6">
        <v>1</v>
      </c>
      <c r="AS74" s="3">
        <v>1</v>
      </c>
      <c r="AT74" t="s">
        <v>13</v>
      </c>
      <c r="AU74" s="9">
        <f t="shared" si="1"/>
        <v>45631</v>
      </c>
    </row>
    <row r="75" spans="1:47" x14ac:dyDescent="0.2">
      <c r="A75" t="s">
        <v>251</v>
      </c>
      <c r="B75" t="s">
        <v>252</v>
      </c>
      <c r="C75" s="2">
        <v>45547</v>
      </c>
      <c r="D75" t="s">
        <v>59</v>
      </c>
      <c r="E75" t="s">
        <v>24</v>
      </c>
      <c r="F75" t="s">
        <v>0</v>
      </c>
      <c r="G75" t="s">
        <v>0</v>
      </c>
      <c r="H75" t="s">
        <v>60</v>
      </c>
      <c r="I75" t="s">
        <v>61</v>
      </c>
      <c r="J75" t="s">
        <v>262</v>
      </c>
      <c r="K75" s="3">
        <v>0</v>
      </c>
      <c r="L75" t="s">
        <v>27</v>
      </c>
      <c r="M75" t="s">
        <v>27</v>
      </c>
      <c r="N75" t="s">
        <v>27</v>
      </c>
      <c r="O75" t="s">
        <v>131</v>
      </c>
      <c r="P75" t="s">
        <v>132</v>
      </c>
      <c r="Q75" s="3">
        <v>6</v>
      </c>
      <c r="R75" s="4">
        <v>27.6</v>
      </c>
      <c r="S75" t="s">
        <v>8</v>
      </c>
      <c r="T75" s="2">
        <v>45622</v>
      </c>
      <c r="U75" s="2">
        <v>45622</v>
      </c>
      <c r="V75" t="s">
        <v>254</v>
      </c>
      <c r="W75" t="s">
        <v>255</v>
      </c>
      <c r="X75" t="s">
        <v>256</v>
      </c>
      <c r="Y75" t="s">
        <v>33</v>
      </c>
      <c r="Z75" t="s">
        <v>34</v>
      </c>
      <c r="AA75" t="s">
        <v>257</v>
      </c>
      <c r="AB75" s="2">
        <v>45604</v>
      </c>
      <c r="AC75" s="2">
        <v>45626</v>
      </c>
      <c r="AD75" t="s">
        <v>0</v>
      </c>
      <c r="AE75" s="2">
        <v>45607</v>
      </c>
      <c r="AF75" s="2"/>
      <c r="AG75" t="s">
        <v>133</v>
      </c>
      <c r="AH75" t="s">
        <v>258</v>
      </c>
      <c r="AI75" s="2">
        <v>45609</v>
      </c>
      <c r="AJ75" s="4">
        <v>27.6</v>
      </c>
      <c r="AK75" s="2">
        <v>45631</v>
      </c>
      <c r="AL75" s="2"/>
      <c r="AM75" t="s">
        <v>12</v>
      </c>
      <c r="AN75" s="5">
        <v>0.32119799999999998</v>
      </c>
      <c r="AO75" t="s">
        <v>38</v>
      </c>
      <c r="AP75" t="s">
        <v>39</v>
      </c>
      <c r="AQ75" t="s">
        <v>74</v>
      </c>
      <c r="AR75" s="6">
        <v>1</v>
      </c>
      <c r="AS75" s="3">
        <v>6</v>
      </c>
      <c r="AT75" t="s">
        <v>13</v>
      </c>
      <c r="AU75" s="9">
        <f t="shared" si="1"/>
        <v>45631</v>
      </c>
    </row>
    <row r="76" spans="1:47" x14ac:dyDescent="0.2">
      <c r="A76" t="s">
        <v>251</v>
      </c>
      <c r="B76" t="s">
        <v>263</v>
      </c>
      <c r="C76" s="2">
        <v>45547</v>
      </c>
      <c r="D76" t="s">
        <v>59</v>
      </c>
      <c r="E76" t="s">
        <v>24</v>
      </c>
      <c r="F76" t="s">
        <v>0</v>
      </c>
      <c r="G76" t="s">
        <v>0</v>
      </c>
      <c r="H76" t="s">
        <v>60</v>
      </c>
      <c r="I76" t="s">
        <v>61</v>
      </c>
      <c r="J76" t="s">
        <v>264</v>
      </c>
      <c r="K76" s="3">
        <v>0</v>
      </c>
      <c r="L76" t="s">
        <v>27</v>
      </c>
      <c r="M76" t="s">
        <v>27</v>
      </c>
      <c r="N76" t="s">
        <v>27</v>
      </c>
      <c r="O76" t="s">
        <v>145</v>
      </c>
      <c r="P76" t="s">
        <v>146</v>
      </c>
      <c r="Q76" s="3">
        <v>3</v>
      </c>
      <c r="R76" s="4">
        <v>2.79</v>
      </c>
      <c r="S76" t="s">
        <v>8</v>
      </c>
      <c r="T76" s="2">
        <v>45622</v>
      </c>
      <c r="U76" s="2">
        <v>45622</v>
      </c>
      <c r="V76" t="s">
        <v>265</v>
      </c>
      <c r="W76" t="s">
        <v>266</v>
      </c>
      <c r="X76" t="s">
        <v>256</v>
      </c>
      <c r="Y76" t="s">
        <v>33</v>
      </c>
      <c r="Z76" t="s">
        <v>34</v>
      </c>
      <c r="AA76" t="s">
        <v>257</v>
      </c>
      <c r="AB76" s="2">
        <v>45604</v>
      </c>
      <c r="AC76" s="2">
        <v>45626</v>
      </c>
      <c r="AD76" t="s">
        <v>0</v>
      </c>
      <c r="AE76" s="2">
        <v>45607</v>
      </c>
      <c r="AF76" s="2"/>
      <c r="AG76" t="s">
        <v>56</v>
      </c>
      <c r="AH76" t="s">
        <v>258</v>
      </c>
      <c r="AI76" s="2">
        <v>45609</v>
      </c>
      <c r="AJ76" s="4">
        <v>2.79</v>
      </c>
      <c r="AK76" s="2">
        <v>45631</v>
      </c>
      <c r="AL76" s="2"/>
      <c r="AM76" t="s">
        <v>12</v>
      </c>
      <c r="AN76" s="5">
        <v>3.2468999999999998E-2</v>
      </c>
      <c r="AO76" t="s">
        <v>38</v>
      </c>
      <c r="AP76" t="s">
        <v>128</v>
      </c>
      <c r="AQ76" t="s">
        <v>74</v>
      </c>
      <c r="AR76" s="6">
        <v>1</v>
      </c>
      <c r="AS76" s="3">
        <v>3</v>
      </c>
      <c r="AT76" t="s">
        <v>13</v>
      </c>
      <c r="AU76" s="9">
        <f t="shared" si="1"/>
        <v>45631</v>
      </c>
    </row>
    <row r="77" spans="1:47" x14ac:dyDescent="0.2">
      <c r="A77" t="s">
        <v>251</v>
      </c>
      <c r="B77" t="s">
        <v>263</v>
      </c>
      <c r="C77" s="2">
        <v>45547</v>
      </c>
      <c r="D77" t="s">
        <v>59</v>
      </c>
      <c r="E77" t="s">
        <v>24</v>
      </c>
      <c r="F77" t="s">
        <v>0</v>
      </c>
      <c r="G77" t="s">
        <v>0</v>
      </c>
      <c r="H77" t="s">
        <v>60</v>
      </c>
      <c r="I77" t="s">
        <v>61</v>
      </c>
      <c r="J77" t="s">
        <v>267</v>
      </c>
      <c r="K77" s="3">
        <v>0</v>
      </c>
      <c r="L77" t="s">
        <v>27</v>
      </c>
      <c r="M77" t="s">
        <v>27</v>
      </c>
      <c r="N77" t="s">
        <v>27</v>
      </c>
      <c r="O77" t="s">
        <v>154</v>
      </c>
      <c r="P77" t="s">
        <v>149</v>
      </c>
      <c r="Q77" s="3">
        <v>5</v>
      </c>
      <c r="R77" s="4">
        <v>3.55</v>
      </c>
      <c r="S77" t="s">
        <v>8</v>
      </c>
      <c r="T77" s="2">
        <v>45622</v>
      </c>
      <c r="U77" s="2">
        <v>45622</v>
      </c>
      <c r="V77" t="s">
        <v>265</v>
      </c>
      <c r="W77" t="s">
        <v>266</v>
      </c>
      <c r="X77" t="s">
        <v>256</v>
      </c>
      <c r="Y77" t="s">
        <v>33</v>
      </c>
      <c r="Z77" t="s">
        <v>34</v>
      </c>
      <c r="AA77" t="s">
        <v>257</v>
      </c>
      <c r="AB77" s="2">
        <v>45604</v>
      </c>
      <c r="AC77" s="2">
        <v>45626</v>
      </c>
      <c r="AD77" t="s">
        <v>0</v>
      </c>
      <c r="AE77" s="2">
        <v>45607</v>
      </c>
      <c r="AF77" s="2"/>
      <c r="AG77" t="s">
        <v>141</v>
      </c>
      <c r="AH77" t="s">
        <v>258</v>
      </c>
      <c r="AI77" s="2">
        <v>45609</v>
      </c>
      <c r="AJ77" s="4">
        <v>3.55</v>
      </c>
      <c r="AK77" s="2">
        <v>45631</v>
      </c>
      <c r="AL77" s="2"/>
      <c r="AM77" t="s">
        <v>12</v>
      </c>
      <c r="AN77" s="5">
        <v>4.1313999999999997E-2</v>
      </c>
      <c r="AO77" t="s">
        <v>38</v>
      </c>
      <c r="AP77" t="s">
        <v>150</v>
      </c>
      <c r="AQ77" t="s">
        <v>74</v>
      </c>
      <c r="AR77" s="6">
        <v>1</v>
      </c>
      <c r="AS77" s="3">
        <v>5</v>
      </c>
      <c r="AT77" t="s">
        <v>13</v>
      </c>
      <c r="AU77" s="9">
        <f t="shared" si="1"/>
        <v>45631</v>
      </c>
    </row>
    <row r="78" spans="1:47" x14ac:dyDescent="0.2">
      <c r="A78" t="s">
        <v>251</v>
      </c>
      <c r="B78" t="s">
        <v>268</v>
      </c>
      <c r="C78" s="2">
        <v>45547</v>
      </c>
      <c r="D78" t="s">
        <v>59</v>
      </c>
      <c r="E78" t="s">
        <v>24</v>
      </c>
      <c r="F78" t="s">
        <v>0</v>
      </c>
      <c r="G78" t="s">
        <v>0</v>
      </c>
      <c r="H78" t="s">
        <v>60</v>
      </c>
      <c r="I78" t="s">
        <v>61</v>
      </c>
      <c r="J78" t="s">
        <v>269</v>
      </c>
      <c r="K78" s="3">
        <v>0</v>
      </c>
      <c r="L78" t="s">
        <v>27</v>
      </c>
      <c r="M78" t="s">
        <v>27</v>
      </c>
      <c r="N78" t="s">
        <v>27</v>
      </c>
      <c r="O78" t="s">
        <v>229</v>
      </c>
      <c r="P78" t="s">
        <v>230</v>
      </c>
      <c r="Q78" s="3">
        <v>2</v>
      </c>
      <c r="R78" s="4">
        <v>3.14</v>
      </c>
      <c r="S78" t="s">
        <v>8</v>
      </c>
      <c r="T78" s="2">
        <v>45622</v>
      </c>
      <c r="U78" s="2">
        <v>45622</v>
      </c>
      <c r="V78" t="s">
        <v>270</v>
      </c>
      <c r="W78" t="s">
        <v>271</v>
      </c>
      <c r="X78" t="s">
        <v>256</v>
      </c>
      <c r="Y78" t="s">
        <v>33</v>
      </c>
      <c r="Z78" t="s">
        <v>34</v>
      </c>
      <c r="AA78" t="s">
        <v>257</v>
      </c>
      <c r="AB78" s="2">
        <v>45604</v>
      </c>
      <c r="AC78" s="2">
        <v>45626</v>
      </c>
      <c r="AD78" t="s">
        <v>0</v>
      </c>
      <c r="AE78" s="2">
        <v>45607</v>
      </c>
      <c r="AF78" s="2"/>
      <c r="AG78" t="s">
        <v>67</v>
      </c>
      <c r="AH78" t="s">
        <v>258</v>
      </c>
      <c r="AI78" s="2">
        <v>45609</v>
      </c>
      <c r="AJ78" s="4">
        <v>3.14</v>
      </c>
      <c r="AK78" s="2">
        <v>45631</v>
      </c>
      <c r="AL78" s="2"/>
      <c r="AM78" t="s">
        <v>12</v>
      </c>
      <c r="AN78" s="5">
        <v>3.6541999999999998E-2</v>
      </c>
      <c r="AO78" t="s">
        <v>38</v>
      </c>
      <c r="AP78" t="s">
        <v>128</v>
      </c>
      <c r="AQ78" t="s">
        <v>74</v>
      </c>
      <c r="AR78" s="6">
        <v>1</v>
      </c>
      <c r="AS78" s="3">
        <v>2</v>
      </c>
      <c r="AT78" t="s">
        <v>13</v>
      </c>
      <c r="AU78" s="9">
        <f t="shared" si="1"/>
        <v>45631</v>
      </c>
    </row>
    <row r="79" spans="1:47" x14ac:dyDescent="0.2">
      <c r="A79" t="s">
        <v>251</v>
      </c>
      <c r="B79" t="s">
        <v>268</v>
      </c>
      <c r="C79" s="2">
        <v>45547</v>
      </c>
      <c r="D79" t="s">
        <v>59</v>
      </c>
      <c r="E79" t="s">
        <v>24</v>
      </c>
      <c r="F79" t="s">
        <v>0</v>
      </c>
      <c r="G79" t="s">
        <v>0</v>
      </c>
      <c r="H79" t="s">
        <v>60</v>
      </c>
      <c r="I79" t="s">
        <v>61</v>
      </c>
      <c r="J79" t="s">
        <v>182</v>
      </c>
      <c r="K79" s="3">
        <v>0</v>
      </c>
      <c r="L79" t="s">
        <v>27</v>
      </c>
      <c r="M79" t="s">
        <v>27</v>
      </c>
      <c r="N79" t="s">
        <v>27</v>
      </c>
      <c r="O79" t="s">
        <v>232</v>
      </c>
      <c r="P79" t="s">
        <v>233</v>
      </c>
      <c r="Q79" s="3">
        <v>2</v>
      </c>
      <c r="R79" s="4">
        <v>3.32</v>
      </c>
      <c r="S79" t="s">
        <v>8</v>
      </c>
      <c r="T79" s="2">
        <v>45622</v>
      </c>
      <c r="U79" s="2">
        <v>45622</v>
      </c>
      <c r="V79" t="s">
        <v>270</v>
      </c>
      <c r="W79" t="s">
        <v>271</v>
      </c>
      <c r="X79" t="s">
        <v>256</v>
      </c>
      <c r="Y79" t="s">
        <v>33</v>
      </c>
      <c r="Z79" t="s">
        <v>34</v>
      </c>
      <c r="AA79" t="s">
        <v>257</v>
      </c>
      <c r="AB79" s="2">
        <v>45604</v>
      </c>
      <c r="AC79" s="2">
        <v>45626</v>
      </c>
      <c r="AD79" t="s">
        <v>0</v>
      </c>
      <c r="AE79" s="2">
        <v>45607</v>
      </c>
      <c r="AF79" s="2"/>
      <c r="AG79" t="s">
        <v>67</v>
      </c>
      <c r="AH79" t="s">
        <v>258</v>
      </c>
      <c r="AI79" s="2">
        <v>45609</v>
      </c>
      <c r="AJ79" s="4">
        <v>3.32</v>
      </c>
      <c r="AK79" s="2">
        <v>45631</v>
      </c>
      <c r="AL79" s="2"/>
      <c r="AM79" t="s">
        <v>12</v>
      </c>
      <c r="AN79" s="5">
        <v>3.8636999999999998E-2</v>
      </c>
      <c r="AO79" t="s">
        <v>38</v>
      </c>
      <c r="AP79" t="s">
        <v>128</v>
      </c>
      <c r="AQ79" t="s">
        <v>74</v>
      </c>
      <c r="AR79" s="6">
        <v>1</v>
      </c>
      <c r="AS79" s="3">
        <v>2</v>
      </c>
      <c r="AT79" t="s">
        <v>13</v>
      </c>
      <c r="AU79" s="9">
        <f t="shared" si="1"/>
        <v>45631</v>
      </c>
    </row>
    <row r="80" spans="1:47" x14ac:dyDescent="0.2">
      <c r="A80" t="s">
        <v>251</v>
      </c>
      <c r="B80" t="s">
        <v>268</v>
      </c>
      <c r="C80" s="2">
        <v>45547</v>
      </c>
      <c r="D80" t="s">
        <v>59</v>
      </c>
      <c r="E80" t="s">
        <v>24</v>
      </c>
      <c r="F80" t="s">
        <v>0</v>
      </c>
      <c r="G80" t="s">
        <v>0</v>
      </c>
      <c r="H80" t="s">
        <v>60</v>
      </c>
      <c r="I80" t="s">
        <v>61</v>
      </c>
      <c r="J80" t="s">
        <v>5</v>
      </c>
      <c r="K80" s="3">
        <v>0</v>
      </c>
      <c r="L80" t="s">
        <v>27</v>
      </c>
      <c r="M80" t="s">
        <v>27</v>
      </c>
      <c r="N80" t="s">
        <v>27</v>
      </c>
      <c r="O80" t="s">
        <v>17</v>
      </c>
      <c r="P80" t="s">
        <v>18</v>
      </c>
      <c r="Q80" s="3">
        <v>2</v>
      </c>
      <c r="R80" s="4">
        <v>476.56</v>
      </c>
      <c r="S80" t="s">
        <v>8</v>
      </c>
      <c r="T80" s="2">
        <v>45622</v>
      </c>
      <c r="U80" s="2">
        <v>45622</v>
      </c>
      <c r="V80" t="s">
        <v>270</v>
      </c>
      <c r="W80" t="s">
        <v>271</v>
      </c>
      <c r="X80" t="s">
        <v>256</v>
      </c>
      <c r="Y80" t="s">
        <v>33</v>
      </c>
      <c r="Z80" t="s">
        <v>34</v>
      </c>
      <c r="AA80" t="s">
        <v>257</v>
      </c>
      <c r="AB80" s="2">
        <v>45604</v>
      </c>
      <c r="AC80" s="2">
        <v>45626</v>
      </c>
      <c r="AD80" t="s">
        <v>0</v>
      </c>
      <c r="AE80" s="2">
        <v>45607</v>
      </c>
      <c r="AF80" s="2"/>
      <c r="AG80" t="s">
        <v>67</v>
      </c>
      <c r="AH80" t="s">
        <v>258</v>
      </c>
      <c r="AI80" s="2">
        <v>45609</v>
      </c>
      <c r="AJ80" s="4">
        <v>476.56</v>
      </c>
      <c r="AK80" s="2">
        <v>45631</v>
      </c>
      <c r="AL80" s="2"/>
      <c r="AM80" t="s">
        <v>12</v>
      </c>
      <c r="AN80" s="5">
        <v>5.5460269999999996</v>
      </c>
      <c r="AO80" t="s">
        <v>38</v>
      </c>
      <c r="AP80" t="s">
        <v>39</v>
      </c>
      <c r="AQ80" t="s">
        <v>69</v>
      </c>
      <c r="AR80" s="6">
        <v>1</v>
      </c>
      <c r="AS80" s="3">
        <v>2</v>
      </c>
      <c r="AT80" t="s">
        <v>13</v>
      </c>
      <c r="AU80" s="9">
        <f t="shared" si="1"/>
        <v>45631</v>
      </c>
    </row>
    <row r="81" spans="1:47" x14ac:dyDescent="0.2">
      <c r="A81" t="s">
        <v>251</v>
      </c>
      <c r="B81" t="s">
        <v>268</v>
      </c>
      <c r="C81" s="2">
        <v>45547</v>
      </c>
      <c r="D81" t="s">
        <v>59</v>
      </c>
      <c r="E81" t="s">
        <v>24</v>
      </c>
      <c r="F81" t="s">
        <v>0</v>
      </c>
      <c r="G81" t="s">
        <v>0</v>
      </c>
      <c r="H81" t="s">
        <v>60</v>
      </c>
      <c r="I81" t="s">
        <v>61</v>
      </c>
      <c r="J81" t="s">
        <v>272</v>
      </c>
      <c r="K81" s="3">
        <v>0</v>
      </c>
      <c r="L81" t="s">
        <v>27</v>
      </c>
      <c r="M81" t="s">
        <v>27</v>
      </c>
      <c r="N81" t="s">
        <v>27</v>
      </c>
      <c r="O81" t="s">
        <v>238</v>
      </c>
      <c r="P81" t="s">
        <v>209</v>
      </c>
      <c r="Q81" s="3">
        <v>4</v>
      </c>
      <c r="R81" s="4">
        <v>99.52</v>
      </c>
      <c r="S81" t="s">
        <v>8</v>
      </c>
      <c r="T81" s="2">
        <v>45622</v>
      </c>
      <c r="U81" s="2">
        <v>45622</v>
      </c>
      <c r="V81" t="s">
        <v>270</v>
      </c>
      <c r="W81" t="s">
        <v>271</v>
      </c>
      <c r="X81" t="s">
        <v>256</v>
      </c>
      <c r="Y81" t="s">
        <v>33</v>
      </c>
      <c r="Z81" t="s">
        <v>34</v>
      </c>
      <c r="AA81" t="s">
        <v>257</v>
      </c>
      <c r="AB81" s="2">
        <v>45604</v>
      </c>
      <c r="AC81" s="2">
        <v>45626</v>
      </c>
      <c r="AD81" t="s">
        <v>0</v>
      </c>
      <c r="AE81" s="2">
        <v>45607</v>
      </c>
      <c r="AF81" s="2"/>
      <c r="AG81" t="s">
        <v>44</v>
      </c>
      <c r="AH81" t="s">
        <v>258</v>
      </c>
      <c r="AI81" s="2">
        <v>45609</v>
      </c>
      <c r="AJ81" s="4">
        <v>99.52</v>
      </c>
      <c r="AK81" s="2">
        <v>45631</v>
      </c>
      <c r="AL81" s="2"/>
      <c r="AM81" t="s">
        <v>12</v>
      </c>
      <c r="AN81" s="5">
        <v>1.158177</v>
      </c>
      <c r="AO81" t="s">
        <v>38</v>
      </c>
      <c r="AP81" t="s">
        <v>39</v>
      </c>
      <c r="AQ81" t="s">
        <v>74</v>
      </c>
      <c r="AR81" s="6">
        <v>1</v>
      </c>
      <c r="AS81" s="3">
        <v>4</v>
      </c>
      <c r="AT81" t="s">
        <v>13</v>
      </c>
      <c r="AU81" s="9">
        <f t="shared" si="1"/>
        <v>45631</v>
      </c>
    </row>
    <row r="82" spans="1:47" x14ac:dyDescent="0.2">
      <c r="A82" t="s">
        <v>251</v>
      </c>
      <c r="B82" t="s">
        <v>268</v>
      </c>
      <c r="C82" s="2">
        <v>45547</v>
      </c>
      <c r="D82" t="s">
        <v>59</v>
      </c>
      <c r="E82" t="s">
        <v>24</v>
      </c>
      <c r="F82" t="s">
        <v>0</v>
      </c>
      <c r="G82" t="s">
        <v>0</v>
      </c>
      <c r="H82" t="s">
        <v>60</v>
      </c>
      <c r="I82" t="s">
        <v>61</v>
      </c>
      <c r="J82" t="s">
        <v>273</v>
      </c>
      <c r="K82" s="3">
        <v>0</v>
      </c>
      <c r="L82" t="s">
        <v>27</v>
      </c>
      <c r="M82" t="s">
        <v>27</v>
      </c>
      <c r="N82" t="s">
        <v>27</v>
      </c>
      <c r="O82" t="s">
        <v>167</v>
      </c>
      <c r="P82" t="s">
        <v>168</v>
      </c>
      <c r="Q82" s="3">
        <v>1</v>
      </c>
      <c r="R82" s="4">
        <v>263.37</v>
      </c>
      <c r="S82" t="s">
        <v>8</v>
      </c>
      <c r="T82" s="2">
        <v>45622</v>
      </c>
      <c r="U82" s="2">
        <v>45622</v>
      </c>
      <c r="V82" t="s">
        <v>270</v>
      </c>
      <c r="W82" t="s">
        <v>271</v>
      </c>
      <c r="X82" t="s">
        <v>256</v>
      </c>
      <c r="Y82" t="s">
        <v>33</v>
      </c>
      <c r="Z82" t="s">
        <v>34</v>
      </c>
      <c r="AA82" t="s">
        <v>257</v>
      </c>
      <c r="AB82" s="2">
        <v>45604</v>
      </c>
      <c r="AC82" s="2">
        <v>45626</v>
      </c>
      <c r="AD82" t="s">
        <v>0</v>
      </c>
      <c r="AE82" s="2">
        <v>45607</v>
      </c>
      <c r="AF82" s="2"/>
      <c r="AG82" t="s">
        <v>98</v>
      </c>
      <c r="AH82" t="s">
        <v>258</v>
      </c>
      <c r="AI82" s="2">
        <v>45609</v>
      </c>
      <c r="AJ82" s="4">
        <v>263.37</v>
      </c>
      <c r="AK82" s="2">
        <v>45631</v>
      </c>
      <c r="AL82" s="2"/>
      <c r="AM82" t="s">
        <v>12</v>
      </c>
      <c r="AN82" s="5">
        <v>3.0650019999999998</v>
      </c>
      <c r="AO82" t="s">
        <v>38</v>
      </c>
      <c r="AP82" t="s">
        <v>39</v>
      </c>
      <c r="AQ82" t="s">
        <v>74</v>
      </c>
      <c r="AR82" s="6">
        <v>1</v>
      </c>
      <c r="AS82" s="3">
        <v>1</v>
      </c>
      <c r="AT82" t="s">
        <v>13</v>
      </c>
      <c r="AU82" s="9">
        <f t="shared" si="1"/>
        <v>45631</v>
      </c>
    </row>
    <row r="83" spans="1:47" x14ac:dyDescent="0.2">
      <c r="A83" t="s">
        <v>251</v>
      </c>
      <c r="B83" t="s">
        <v>268</v>
      </c>
      <c r="C83" s="2">
        <v>45547</v>
      </c>
      <c r="D83" t="s">
        <v>59</v>
      </c>
      <c r="E83" t="s">
        <v>24</v>
      </c>
      <c r="F83" t="s">
        <v>0</v>
      </c>
      <c r="G83" t="s">
        <v>0</v>
      </c>
      <c r="H83" t="s">
        <v>60</v>
      </c>
      <c r="I83" t="s">
        <v>61</v>
      </c>
      <c r="J83" t="s">
        <v>274</v>
      </c>
      <c r="K83" s="3">
        <v>0</v>
      </c>
      <c r="L83" t="s">
        <v>27</v>
      </c>
      <c r="M83" t="s">
        <v>27</v>
      </c>
      <c r="N83" t="s">
        <v>27</v>
      </c>
      <c r="O83" t="s">
        <v>249</v>
      </c>
      <c r="P83" t="s">
        <v>250</v>
      </c>
      <c r="Q83" s="3">
        <v>2</v>
      </c>
      <c r="R83" s="4">
        <v>172.5</v>
      </c>
      <c r="S83" t="s">
        <v>8</v>
      </c>
      <c r="T83" s="2">
        <v>45622</v>
      </c>
      <c r="U83" s="2">
        <v>45622</v>
      </c>
      <c r="V83" t="s">
        <v>270</v>
      </c>
      <c r="W83" t="s">
        <v>271</v>
      </c>
      <c r="X83" t="s">
        <v>256</v>
      </c>
      <c r="Y83" t="s">
        <v>33</v>
      </c>
      <c r="Z83" t="s">
        <v>34</v>
      </c>
      <c r="AA83" t="s">
        <v>257</v>
      </c>
      <c r="AB83" s="2">
        <v>45604</v>
      </c>
      <c r="AC83" s="2">
        <v>45626</v>
      </c>
      <c r="AD83" t="s">
        <v>0</v>
      </c>
      <c r="AE83" s="2">
        <v>45607</v>
      </c>
      <c r="AF83" s="2"/>
      <c r="AG83" t="s">
        <v>67</v>
      </c>
      <c r="AH83" t="s">
        <v>258</v>
      </c>
      <c r="AI83" s="2">
        <v>45609</v>
      </c>
      <c r="AJ83" s="4">
        <v>172.5</v>
      </c>
      <c r="AK83" s="2">
        <v>45631</v>
      </c>
      <c r="AL83" s="2"/>
      <c r="AM83" t="s">
        <v>12</v>
      </c>
      <c r="AN83" s="5">
        <v>2.0074900000000002</v>
      </c>
      <c r="AO83" t="s">
        <v>38</v>
      </c>
      <c r="AP83" t="s">
        <v>39</v>
      </c>
      <c r="AQ83" t="s">
        <v>74</v>
      </c>
      <c r="AR83" s="6">
        <v>1</v>
      </c>
      <c r="AS83" s="3">
        <v>2</v>
      </c>
      <c r="AT83" t="s">
        <v>13</v>
      </c>
      <c r="AU83" s="9">
        <f t="shared" si="1"/>
        <v>45631</v>
      </c>
    </row>
    <row r="84" spans="1:47" x14ac:dyDescent="0.2">
      <c r="A84" t="s">
        <v>84</v>
      </c>
      <c r="B84" t="s">
        <v>275</v>
      </c>
      <c r="C84" s="2">
        <v>45554</v>
      </c>
      <c r="D84" t="s">
        <v>59</v>
      </c>
      <c r="E84" t="s">
        <v>24</v>
      </c>
      <c r="F84" t="s">
        <v>0</v>
      </c>
      <c r="G84" t="s">
        <v>0</v>
      </c>
      <c r="H84" t="s">
        <v>60</v>
      </c>
      <c r="I84" t="s">
        <v>61</v>
      </c>
      <c r="J84" t="s">
        <v>108</v>
      </c>
      <c r="K84" s="3">
        <v>0</v>
      </c>
      <c r="L84" t="s">
        <v>27</v>
      </c>
      <c r="M84" t="s">
        <v>27</v>
      </c>
      <c r="N84" t="s">
        <v>27</v>
      </c>
      <c r="O84" t="s">
        <v>276</v>
      </c>
      <c r="P84" t="s">
        <v>277</v>
      </c>
      <c r="Q84" s="3">
        <v>1</v>
      </c>
      <c r="R84" s="4">
        <v>0.2</v>
      </c>
      <c r="S84" t="s">
        <v>8</v>
      </c>
      <c r="T84" s="2">
        <v>45676</v>
      </c>
      <c r="U84" s="2">
        <v>45676</v>
      </c>
      <c r="V84" t="s">
        <v>278</v>
      </c>
      <c r="W84" t="s">
        <v>279</v>
      </c>
      <c r="X84" t="s">
        <v>89</v>
      </c>
      <c r="Y84" t="s">
        <v>33</v>
      </c>
      <c r="Z84" t="s">
        <v>34</v>
      </c>
      <c r="AA84" t="s">
        <v>90</v>
      </c>
      <c r="AB84" s="2">
        <v>45613</v>
      </c>
      <c r="AC84" s="2">
        <v>45643</v>
      </c>
      <c r="AD84" t="s">
        <v>0</v>
      </c>
      <c r="AE84" s="2"/>
      <c r="AF84" s="2"/>
      <c r="AG84" t="s">
        <v>98</v>
      </c>
      <c r="AH84" t="s">
        <v>91</v>
      </c>
      <c r="AI84" s="2">
        <v>45595</v>
      </c>
      <c r="AJ84" s="4">
        <v>0.2</v>
      </c>
      <c r="AK84" s="2">
        <v>45653</v>
      </c>
      <c r="AL84" s="2"/>
      <c r="AM84" t="s">
        <v>12</v>
      </c>
      <c r="AN84" s="5">
        <v>2.4889999999999999E-3</v>
      </c>
      <c r="AO84" t="s">
        <v>38</v>
      </c>
      <c r="AP84" t="s">
        <v>39</v>
      </c>
      <c r="AQ84" t="s">
        <v>74</v>
      </c>
      <c r="AR84" s="6">
        <v>1</v>
      </c>
      <c r="AS84" s="3">
        <v>1</v>
      </c>
      <c r="AT84" t="s">
        <v>13</v>
      </c>
      <c r="AU84" s="9">
        <f t="shared" si="1"/>
        <v>45653</v>
      </c>
    </row>
    <row r="85" spans="1:47" x14ac:dyDescent="0.2">
      <c r="A85" t="s">
        <v>251</v>
      </c>
      <c r="B85" t="s">
        <v>275</v>
      </c>
      <c r="C85" s="2">
        <v>45554</v>
      </c>
      <c r="D85" t="s">
        <v>59</v>
      </c>
      <c r="E85" t="s">
        <v>24</v>
      </c>
      <c r="F85" t="s">
        <v>0</v>
      </c>
      <c r="G85" t="s">
        <v>0</v>
      </c>
      <c r="H85" t="s">
        <v>60</v>
      </c>
      <c r="I85" t="s">
        <v>61</v>
      </c>
      <c r="J85" t="s">
        <v>280</v>
      </c>
      <c r="K85" s="3">
        <v>0</v>
      </c>
      <c r="L85" t="s">
        <v>27</v>
      </c>
      <c r="M85" t="s">
        <v>27</v>
      </c>
      <c r="N85" t="s">
        <v>27</v>
      </c>
      <c r="O85" t="s">
        <v>281</v>
      </c>
      <c r="P85" t="s">
        <v>282</v>
      </c>
      <c r="Q85" s="3">
        <v>1</v>
      </c>
      <c r="R85" s="4">
        <v>0.6</v>
      </c>
      <c r="S85" t="s">
        <v>8</v>
      </c>
      <c r="T85" s="2">
        <v>45676</v>
      </c>
      <c r="U85" s="2">
        <v>45676</v>
      </c>
      <c r="V85" t="s">
        <v>278</v>
      </c>
      <c r="W85" t="s">
        <v>279</v>
      </c>
      <c r="X85" t="s">
        <v>256</v>
      </c>
      <c r="Y85" t="s">
        <v>33</v>
      </c>
      <c r="Z85" t="s">
        <v>34</v>
      </c>
      <c r="AA85" t="s">
        <v>257</v>
      </c>
      <c r="AB85" s="2">
        <v>45604</v>
      </c>
      <c r="AC85" s="2">
        <v>45626</v>
      </c>
      <c r="AD85" t="s">
        <v>0</v>
      </c>
      <c r="AE85" s="2">
        <v>45607</v>
      </c>
      <c r="AF85" s="2"/>
      <c r="AG85" t="s">
        <v>98</v>
      </c>
      <c r="AH85" t="s">
        <v>258</v>
      </c>
      <c r="AI85" s="2">
        <v>45609</v>
      </c>
      <c r="AJ85" s="4">
        <v>0.6</v>
      </c>
      <c r="AK85" s="2">
        <v>45631</v>
      </c>
      <c r="AL85" s="2"/>
      <c r="AM85" t="s">
        <v>12</v>
      </c>
      <c r="AN85" s="5">
        <v>6.9829999999999996E-3</v>
      </c>
      <c r="AO85" t="s">
        <v>38</v>
      </c>
      <c r="AP85" t="s">
        <v>39</v>
      </c>
      <c r="AQ85" t="s">
        <v>74</v>
      </c>
      <c r="AR85" s="6">
        <v>1</v>
      </c>
      <c r="AS85" s="3">
        <v>1</v>
      </c>
      <c r="AT85" t="s">
        <v>13</v>
      </c>
      <c r="AU85" s="9">
        <f t="shared" si="1"/>
        <v>45631</v>
      </c>
    </row>
    <row r="86" spans="1:47" x14ac:dyDescent="0.2">
      <c r="A86" t="s">
        <v>75</v>
      </c>
      <c r="B86" t="s">
        <v>283</v>
      </c>
      <c r="C86" s="2">
        <v>45579</v>
      </c>
      <c r="D86" t="s">
        <v>23</v>
      </c>
      <c r="E86" t="s">
        <v>24</v>
      </c>
      <c r="F86" t="s">
        <v>0</v>
      </c>
      <c r="G86" t="s">
        <v>0</v>
      </c>
      <c r="H86" t="s">
        <v>3</v>
      </c>
      <c r="I86" t="s">
        <v>4</v>
      </c>
      <c r="J86" t="s">
        <v>284</v>
      </c>
      <c r="K86" s="3">
        <v>0</v>
      </c>
      <c r="L86" t="s">
        <v>27</v>
      </c>
      <c r="M86" t="s">
        <v>27</v>
      </c>
      <c r="N86" t="s">
        <v>27</v>
      </c>
      <c r="O86" t="s">
        <v>118</v>
      </c>
      <c r="P86" t="s">
        <v>119</v>
      </c>
      <c r="Q86" s="3">
        <v>9</v>
      </c>
      <c r="R86" s="4">
        <v>125.28</v>
      </c>
      <c r="S86" t="s">
        <v>8</v>
      </c>
      <c r="T86" s="2">
        <v>45699</v>
      </c>
      <c r="U86" s="2">
        <v>45699</v>
      </c>
      <c r="V86" t="s">
        <v>285</v>
      </c>
      <c r="W86" t="s">
        <v>286</v>
      </c>
      <c r="X86" t="s">
        <v>80</v>
      </c>
      <c r="Y86" t="s">
        <v>33</v>
      </c>
      <c r="Z86" t="s">
        <v>34</v>
      </c>
      <c r="AA86" t="s">
        <v>81</v>
      </c>
      <c r="AB86" s="2">
        <v>45621</v>
      </c>
      <c r="AC86" s="2">
        <v>45665</v>
      </c>
      <c r="AD86" t="s">
        <v>0</v>
      </c>
      <c r="AE86" s="2"/>
      <c r="AF86" s="2"/>
      <c r="AG86" t="s">
        <v>261</v>
      </c>
      <c r="AH86" t="s">
        <v>83</v>
      </c>
      <c r="AI86" s="2">
        <v>45604</v>
      </c>
      <c r="AJ86" s="4">
        <v>125.28</v>
      </c>
      <c r="AK86" s="2">
        <v>45675</v>
      </c>
      <c r="AL86" s="2"/>
      <c r="AM86" t="s">
        <v>12</v>
      </c>
      <c r="AN86" s="5">
        <v>1.341594</v>
      </c>
      <c r="AO86" t="s">
        <v>38</v>
      </c>
      <c r="AP86" t="s">
        <v>121</v>
      </c>
      <c r="AQ86" t="s">
        <v>122</v>
      </c>
      <c r="AR86" s="6">
        <v>1</v>
      </c>
      <c r="AS86" s="3">
        <v>9</v>
      </c>
      <c r="AT86" t="s">
        <v>13</v>
      </c>
      <c r="AU86" s="9">
        <f t="shared" si="1"/>
        <v>45675</v>
      </c>
    </row>
    <row r="87" spans="1:47" x14ac:dyDescent="0.2">
      <c r="A87" t="s">
        <v>75</v>
      </c>
      <c r="B87" t="s">
        <v>283</v>
      </c>
      <c r="C87" s="2">
        <v>45579</v>
      </c>
      <c r="D87" t="s">
        <v>23</v>
      </c>
      <c r="E87" t="s">
        <v>24</v>
      </c>
      <c r="F87" t="s">
        <v>0</v>
      </c>
      <c r="G87" t="s">
        <v>0</v>
      </c>
      <c r="H87" t="s">
        <v>3</v>
      </c>
      <c r="I87" t="s">
        <v>4</v>
      </c>
      <c r="J87" t="s">
        <v>287</v>
      </c>
      <c r="K87" s="3">
        <v>0</v>
      </c>
      <c r="L87" t="s">
        <v>27</v>
      </c>
      <c r="M87" t="s">
        <v>27</v>
      </c>
      <c r="N87" t="s">
        <v>27</v>
      </c>
      <c r="O87" t="s">
        <v>288</v>
      </c>
      <c r="P87" t="s">
        <v>289</v>
      </c>
      <c r="Q87" s="3">
        <v>1</v>
      </c>
      <c r="R87" s="4">
        <v>1.19</v>
      </c>
      <c r="S87" t="s">
        <v>8</v>
      </c>
      <c r="T87" s="2">
        <v>45699</v>
      </c>
      <c r="U87" s="2">
        <v>45699</v>
      </c>
      <c r="V87" t="s">
        <v>285</v>
      </c>
      <c r="W87" t="s">
        <v>286</v>
      </c>
      <c r="X87" t="s">
        <v>80</v>
      </c>
      <c r="Y87" t="s">
        <v>33</v>
      </c>
      <c r="Z87" t="s">
        <v>34</v>
      </c>
      <c r="AA87" t="s">
        <v>81</v>
      </c>
      <c r="AB87" s="2">
        <v>45621</v>
      </c>
      <c r="AC87" s="2">
        <v>45665</v>
      </c>
      <c r="AD87" t="s">
        <v>0</v>
      </c>
      <c r="AE87" s="2"/>
      <c r="AF87" s="2"/>
      <c r="AG87" t="s">
        <v>98</v>
      </c>
      <c r="AH87" t="s">
        <v>83</v>
      </c>
      <c r="AI87" s="2">
        <v>45604</v>
      </c>
      <c r="AJ87" s="4">
        <v>1.19</v>
      </c>
      <c r="AK87" s="2">
        <v>45675</v>
      </c>
      <c r="AL87" s="2"/>
      <c r="AM87" t="s">
        <v>12</v>
      </c>
      <c r="AN87" s="5">
        <v>1.2743000000000001E-2</v>
      </c>
      <c r="AO87" t="s">
        <v>38</v>
      </c>
      <c r="AP87" t="s">
        <v>128</v>
      </c>
      <c r="AQ87" t="s">
        <v>122</v>
      </c>
      <c r="AR87" s="6">
        <v>1</v>
      </c>
      <c r="AS87" s="3">
        <v>1</v>
      </c>
      <c r="AT87" t="s">
        <v>13</v>
      </c>
      <c r="AU87" s="9">
        <f t="shared" si="1"/>
        <v>45675</v>
      </c>
    </row>
    <row r="88" spans="1:47" x14ac:dyDescent="0.2">
      <c r="A88" t="s">
        <v>75</v>
      </c>
      <c r="B88" t="s">
        <v>283</v>
      </c>
      <c r="C88" s="2">
        <v>45579</v>
      </c>
      <c r="D88" t="s">
        <v>23</v>
      </c>
      <c r="E88" t="s">
        <v>24</v>
      </c>
      <c r="F88" t="s">
        <v>290</v>
      </c>
      <c r="G88" t="s">
        <v>0</v>
      </c>
      <c r="H88" t="s">
        <v>3</v>
      </c>
      <c r="I88" t="s">
        <v>4</v>
      </c>
      <c r="J88" t="s">
        <v>291</v>
      </c>
      <c r="K88" s="3">
        <v>0</v>
      </c>
      <c r="L88" t="s">
        <v>27</v>
      </c>
      <c r="M88" t="s">
        <v>27</v>
      </c>
      <c r="N88" t="s">
        <v>27</v>
      </c>
      <c r="O88" t="s">
        <v>292</v>
      </c>
      <c r="P88" t="s">
        <v>293</v>
      </c>
      <c r="Q88" s="3">
        <v>3</v>
      </c>
      <c r="R88" s="4">
        <v>3.24</v>
      </c>
      <c r="S88" t="s">
        <v>8</v>
      </c>
      <c r="T88" s="2">
        <v>45699</v>
      </c>
      <c r="U88" s="2">
        <v>45699</v>
      </c>
      <c r="V88" t="s">
        <v>285</v>
      </c>
      <c r="W88" t="s">
        <v>286</v>
      </c>
      <c r="X88" t="s">
        <v>80</v>
      </c>
      <c r="Y88" t="s">
        <v>33</v>
      </c>
      <c r="Z88" t="s">
        <v>34</v>
      </c>
      <c r="AA88" t="s">
        <v>81</v>
      </c>
      <c r="AB88" s="2">
        <v>45621</v>
      </c>
      <c r="AC88" s="2">
        <v>45665</v>
      </c>
      <c r="AD88" t="s">
        <v>0</v>
      </c>
      <c r="AE88" s="2"/>
      <c r="AF88" s="2"/>
      <c r="AG88" t="s">
        <v>56</v>
      </c>
      <c r="AH88" t="s">
        <v>83</v>
      </c>
      <c r="AI88" s="2">
        <v>45604</v>
      </c>
      <c r="AJ88" s="4">
        <v>3.24</v>
      </c>
      <c r="AK88" s="2">
        <v>45675</v>
      </c>
      <c r="AL88" s="2"/>
      <c r="AM88" t="s">
        <v>12</v>
      </c>
      <c r="AN88" s="5">
        <v>3.4695999999999998E-2</v>
      </c>
      <c r="AO88" t="s">
        <v>38</v>
      </c>
      <c r="AP88" t="s">
        <v>39</v>
      </c>
      <c r="AQ88" t="s">
        <v>122</v>
      </c>
      <c r="AR88" s="6">
        <v>1</v>
      </c>
      <c r="AS88" s="3">
        <v>3</v>
      </c>
      <c r="AT88" t="s">
        <v>13</v>
      </c>
      <c r="AU88" s="9">
        <f t="shared" si="1"/>
        <v>45675</v>
      </c>
    </row>
    <row r="89" spans="1:47" x14ac:dyDescent="0.2">
      <c r="A89" t="s">
        <v>75</v>
      </c>
      <c r="B89" t="s">
        <v>283</v>
      </c>
      <c r="C89" s="2">
        <v>45579</v>
      </c>
      <c r="D89" t="s">
        <v>23</v>
      </c>
      <c r="E89" t="s">
        <v>24</v>
      </c>
      <c r="F89" t="s">
        <v>294</v>
      </c>
      <c r="G89" t="s">
        <v>0</v>
      </c>
      <c r="H89" t="s">
        <v>3</v>
      </c>
      <c r="I89" t="s">
        <v>4</v>
      </c>
      <c r="J89" t="s">
        <v>295</v>
      </c>
      <c r="K89" s="3">
        <v>0</v>
      </c>
      <c r="L89" t="s">
        <v>27</v>
      </c>
      <c r="M89" t="s">
        <v>27</v>
      </c>
      <c r="N89" t="s">
        <v>27</v>
      </c>
      <c r="O89" t="s">
        <v>296</v>
      </c>
      <c r="P89" t="s">
        <v>297</v>
      </c>
      <c r="Q89" s="3">
        <v>10</v>
      </c>
      <c r="R89" s="4">
        <v>5.5</v>
      </c>
      <c r="S89" t="s">
        <v>8</v>
      </c>
      <c r="T89" s="2">
        <v>45699</v>
      </c>
      <c r="U89" s="2">
        <v>45699</v>
      </c>
      <c r="V89" t="s">
        <v>285</v>
      </c>
      <c r="W89" t="s">
        <v>286</v>
      </c>
      <c r="X89" t="s">
        <v>80</v>
      </c>
      <c r="Y89" t="s">
        <v>33</v>
      </c>
      <c r="Z89" t="s">
        <v>34</v>
      </c>
      <c r="AA89" t="s">
        <v>81</v>
      </c>
      <c r="AB89" s="2">
        <v>45621</v>
      </c>
      <c r="AC89" s="2">
        <v>45665</v>
      </c>
      <c r="AD89" t="s">
        <v>0</v>
      </c>
      <c r="AE89" s="2"/>
      <c r="AF89" s="2"/>
      <c r="AG89" t="s">
        <v>127</v>
      </c>
      <c r="AH89" t="s">
        <v>83</v>
      </c>
      <c r="AI89" s="2">
        <v>45604</v>
      </c>
      <c r="AJ89" s="4">
        <v>5.5</v>
      </c>
      <c r="AK89" s="2">
        <v>45675</v>
      </c>
      <c r="AL89" s="2"/>
      <c r="AM89" t="s">
        <v>12</v>
      </c>
      <c r="AN89" s="5">
        <v>5.8897999999999999E-2</v>
      </c>
      <c r="AO89" t="s">
        <v>38</v>
      </c>
      <c r="AP89" t="s">
        <v>128</v>
      </c>
      <c r="AQ89" t="s">
        <v>122</v>
      </c>
      <c r="AR89" s="6">
        <v>1</v>
      </c>
      <c r="AS89" s="3">
        <v>10</v>
      </c>
      <c r="AT89" t="s">
        <v>13</v>
      </c>
      <c r="AU89" s="9">
        <f t="shared" si="1"/>
        <v>45675</v>
      </c>
    </row>
    <row r="90" spans="1:47" x14ac:dyDescent="0.2">
      <c r="A90" t="s">
        <v>75</v>
      </c>
      <c r="B90" t="s">
        <v>283</v>
      </c>
      <c r="C90" s="2">
        <v>45579</v>
      </c>
      <c r="D90" t="s">
        <v>23</v>
      </c>
      <c r="E90" t="s">
        <v>24</v>
      </c>
      <c r="F90" t="s">
        <v>294</v>
      </c>
      <c r="G90" t="s">
        <v>0</v>
      </c>
      <c r="H90" t="s">
        <v>3</v>
      </c>
      <c r="I90" t="s">
        <v>4</v>
      </c>
      <c r="J90" t="s">
        <v>298</v>
      </c>
      <c r="K90" s="3">
        <v>0</v>
      </c>
      <c r="L90" t="s">
        <v>27</v>
      </c>
      <c r="M90" t="s">
        <v>27</v>
      </c>
      <c r="N90" t="s">
        <v>27</v>
      </c>
      <c r="O90" t="s">
        <v>299</v>
      </c>
      <c r="P90" t="s">
        <v>300</v>
      </c>
      <c r="Q90" s="3">
        <v>20</v>
      </c>
      <c r="R90" s="4">
        <v>7</v>
      </c>
      <c r="S90" t="s">
        <v>8</v>
      </c>
      <c r="T90" s="2">
        <v>45699</v>
      </c>
      <c r="U90" s="2">
        <v>45699</v>
      </c>
      <c r="V90" t="s">
        <v>285</v>
      </c>
      <c r="W90" t="s">
        <v>286</v>
      </c>
      <c r="X90" t="s">
        <v>80</v>
      </c>
      <c r="Y90" t="s">
        <v>33</v>
      </c>
      <c r="Z90" t="s">
        <v>34</v>
      </c>
      <c r="AA90" t="s">
        <v>81</v>
      </c>
      <c r="AB90" s="2">
        <v>45621</v>
      </c>
      <c r="AC90" s="2">
        <v>45665</v>
      </c>
      <c r="AD90" t="s">
        <v>0</v>
      </c>
      <c r="AE90" s="2"/>
      <c r="AF90" s="2"/>
      <c r="AG90" t="s">
        <v>36</v>
      </c>
      <c r="AH90" t="s">
        <v>83</v>
      </c>
      <c r="AI90" s="2">
        <v>45604</v>
      </c>
      <c r="AJ90" s="4">
        <v>7</v>
      </c>
      <c r="AK90" s="2">
        <v>45675</v>
      </c>
      <c r="AL90" s="2"/>
      <c r="AM90" t="s">
        <v>12</v>
      </c>
      <c r="AN90" s="5">
        <v>7.4961E-2</v>
      </c>
      <c r="AO90" t="s">
        <v>38</v>
      </c>
      <c r="AP90" t="s">
        <v>128</v>
      </c>
      <c r="AQ90" t="s">
        <v>122</v>
      </c>
      <c r="AR90" s="6">
        <v>1</v>
      </c>
      <c r="AS90" s="3">
        <v>20</v>
      </c>
      <c r="AT90" t="s">
        <v>13</v>
      </c>
      <c r="AU90" s="9">
        <f t="shared" si="1"/>
        <v>45675</v>
      </c>
    </row>
    <row r="91" spans="1:47" x14ac:dyDescent="0.2">
      <c r="A91" t="s">
        <v>75</v>
      </c>
      <c r="B91" t="s">
        <v>283</v>
      </c>
      <c r="C91" s="2">
        <v>45579</v>
      </c>
      <c r="D91" t="s">
        <v>23</v>
      </c>
      <c r="E91" t="s">
        <v>24</v>
      </c>
      <c r="F91" t="s">
        <v>0</v>
      </c>
      <c r="G91" t="s">
        <v>0</v>
      </c>
      <c r="H91" t="s">
        <v>3</v>
      </c>
      <c r="I91" t="s">
        <v>4</v>
      </c>
      <c r="J91" t="s">
        <v>301</v>
      </c>
      <c r="K91" s="3">
        <v>0</v>
      </c>
      <c r="L91" t="s">
        <v>27</v>
      </c>
      <c r="M91" t="s">
        <v>27</v>
      </c>
      <c r="N91" t="s">
        <v>27</v>
      </c>
      <c r="O91" t="s">
        <v>215</v>
      </c>
      <c r="P91" t="s">
        <v>216</v>
      </c>
      <c r="Q91" s="3">
        <v>3</v>
      </c>
      <c r="R91" s="4">
        <v>1.32</v>
      </c>
      <c r="S91" t="s">
        <v>8</v>
      </c>
      <c r="T91" s="2">
        <v>45699</v>
      </c>
      <c r="U91" s="2">
        <v>45699</v>
      </c>
      <c r="V91" t="s">
        <v>285</v>
      </c>
      <c r="W91" t="s">
        <v>286</v>
      </c>
      <c r="X91" t="s">
        <v>80</v>
      </c>
      <c r="Y91" t="s">
        <v>33</v>
      </c>
      <c r="Z91" t="s">
        <v>34</v>
      </c>
      <c r="AA91" t="s">
        <v>81</v>
      </c>
      <c r="AB91" s="2">
        <v>45621</v>
      </c>
      <c r="AC91" s="2">
        <v>45665</v>
      </c>
      <c r="AD91" t="s">
        <v>0</v>
      </c>
      <c r="AE91" s="2"/>
      <c r="AF91" s="2"/>
      <c r="AG91" t="s">
        <v>56</v>
      </c>
      <c r="AH91" t="s">
        <v>83</v>
      </c>
      <c r="AI91" s="2">
        <v>45604</v>
      </c>
      <c r="AJ91" s="4">
        <v>1.32</v>
      </c>
      <c r="AK91" s="2">
        <v>45675</v>
      </c>
      <c r="AL91" s="2"/>
      <c r="AM91" t="s">
        <v>12</v>
      </c>
      <c r="AN91" s="5">
        <v>1.4135999999999999E-2</v>
      </c>
      <c r="AO91" t="s">
        <v>38</v>
      </c>
      <c r="AP91" t="s">
        <v>128</v>
      </c>
      <c r="AQ91" t="s">
        <v>122</v>
      </c>
      <c r="AR91" s="6">
        <v>1</v>
      </c>
      <c r="AS91" s="3">
        <v>3</v>
      </c>
      <c r="AT91" t="s">
        <v>13</v>
      </c>
      <c r="AU91" s="9">
        <f t="shared" si="1"/>
        <v>45675</v>
      </c>
    </row>
    <row r="92" spans="1:47" x14ac:dyDescent="0.2">
      <c r="A92" t="s">
        <v>75</v>
      </c>
      <c r="B92" t="s">
        <v>283</v>
      </c>
      <c r="C92" s="2">
        <v>45579</v>
      </c>
      <c r="D92" t="s">
        <v>23</v>
      </c>
      <c r="E92" t="s">
        <v>24</v>
      </c>
      <c r="F92" t="s">
        <v>0</v>
      </c>
      <c r="G92" t="s">
        <v>0</v>
      </c>
      <c r="H92" t="s">
        <v>3</v>
      </c>
      <c r="I92" t="s">
        <v>4</v>
      </c>
      <c r="J92" t="s">
        <v>302</v>
      </c>
      <c r="K92" s="3">
        <v>0</v>
      </c>
      <c r="L92" t="s">
        <v>27</v>
      </c>
      <c r="M92" t="s">
        <v>27</v>
      </c>
      <c r="N92" t="s">
        <v>27</v>
      </c>
      <c r="O92" t="s">
        <v>200</v>
      </c>
      <c r="P92" t="s">
        <v>201</v>
      </c>
      <c r="Q92" s="3">
        <v>1</v>
      </c>
      <c r="R92" s="4">
        <v>0.39</v>
      </c>
      <c r="S92" t="s">
        <v>8</v>
      </c>
      <c r="T92" s="2">
        <v>45699</v>
      </c>
      <c r="U92" s="2">
        <v>45699</v>
      </c>
      <c r="V92" t="s">
        <v>285</v>
      </c>
      <c r="W92" t="s">
        <v>286</v>
      </c>
      <c r="X92" t="s">
        <v>80</v>
      </c>
      <c r="Y92" t="s">
        <v>33</v>
      </c>
      <c r="Z92" t="s">
        <v>34</v>
      </c>
      <c r="AA92" t="s">
        <v>81</v>
      </c>
      <c r="AB92" s="2">
        <v>45621</v>
      </c>
      <c r="AC92" s="2">
        <v>45665</v>
      </c>
      <c r="AD92" t="s">
        <v>0</v>
      </c>
      <c r="AE92" s="2"/>
      <c r="AF92" s="2"/>
      <c r="AG92" t="s">
        <v>98</v>
      </c>
      <c r="AH92" t="s">
        <v>83</v>
      </c>
      <c r="AI92" s="2">
        <v>45604</v>
      </c>
      <c r="AJ92" s="4">
        <v>0.39</v>
      </c>
      <c r="AK92" s="2">
        <v>45675</v>
      </c>
      <c r="AL92" s="2"/>
      <c r="AM92" t="s">
        <v>12</v>
      </c>
      <c r="AN92" s="5">
        <v>4.176E-3</v>
      </c>
      <c r="AO92" t="s">
        <v>38</v>
      </c>
      <c r="AP92" t="s">
        <v>128</v>
      </c>
      <c r="AQ92" t="s">
        <v>122</v>
      </c>
      <c r="AR92" s="6">
        <v>1</v>
      </c>
      <c r="AS92" s="3">
        <v>1</v>
      </c>
      <c r="AT92" t="s">
        <v>13</v>
      </c>
      <c r="AU92" s="9">
        <f t="shared" si="1"/>
        <v>45675</v>
      </c>
    </row>
    <row r="93" spans="1:47" x14ac:dyDescent="0.2">
      <c r="A93" t="s">
        <v>75</v>
      </c>
      <c r="B93" t="s">
        <v>283</v>
      </c>
      <c r="C93" s="2">
        <v>45579</v>
      </c>
      <c r="D93" t="s">
        <v>23</v>
      </c>
      <c r="E93" t="s">
        <v>24</v>
      </c>
      <c r="F93" t="s">
        <v>129</v>
      </c>
      <c r="G93" t="s">
        <v>0</v>
      </c>
      <c r="H93" t="s">
        <v>3</v>
      </c>
      <c r="I93" t="s">
        <v>4</v>
      </c>
      <c r="J93" t="s">
        <v>303</v>
      </c>
      <c r="K93" s="3">
        <v>0</v>
      </c>
      <c r="L93" t="s">
        <v>27</v>
      </c>
      <c r="M93" t="s">
        <v>27</v>
      </c>
      <c r="N93" t="s">
        <v>27</v>
      </c>
      <c r="O93" t="s">
        <v>131</v>
      </c>
      <c r="P93" t="s">
        <v>132</v>
      </c>
      <c r="Q93" s="3">
        <v>10</v>
      </c>
      <c r="R93" s="4">
        <v>46.7</v>
      </c>
      <c r="S93" t="s">
        <v>8</v>
      </c>
      <c r="T93" s="2">
        <v>45699</v>
      </c>
      <c r="U93" s="2">
        <v>45699</v>
      </c>
      <c r="V93" t="s">
        <v>285</v>
      </c>
      <c r="W93" t="s">
        <v>286</v>
      </c>
      <c r="X93" t="s">
        <v>80</v>
      </c>
      <c r="Y93" t="s">
        <v>33</v>
      </c>
      <c r="Z93" t="s">
        <v>34</v>
      </c>
      <c r="AA93" t="s">
        <v>81</v>
      </c>
      <c r="AB93" s="2">
        <v>45621</v>
      </c>
      <c r="AC93" s="2">
        <v>45665</v>
      </c>
      <c r="AD93" t="s">
        <v>0</v>
      </c>
      <c r="AE93" s="2"/>
      <c r="AF93" s="2"/>
      <c r="AG93" t="s">
        <v>127</v>
      </c>
      <c r="AH93" t="s">
        <v>83</v>
      </c>
      <c r="AI93" s="2">
        <v>45604</v>
      </c>
      <c r="AJ93" s="4">
        <v>46.7</v>
      </c>
      <c r="AK93" s="2">
        <v>45675</v>
      </c>
      <c r="AL93" s="2"/>
      <c r="AM93" t="s">
        <v>12</v>
      </c>
      <c r="AN93" s="5">
        <v>0.50009899999999996</v>
      </c>
      <c r="AO93" t="s">
        <v>38</v>
      </c>
      <c r="AP93" t="s">
        <v>39</v>
      </c>
      <c r="AQ93" t="s">
        <v>122</v>
      </c>
      <c r="AR93" s="6">
        <v>1</v>
      </c>
      <c r="AS93" s="3">
        <v>10</v>
      </c>
      <c r="AT93" t="s">
        <v>13</v>
      </c>
      <c r="AU93" s="9">
        <f t="shared" si="1"/>
        <v>45675</v>
      </c>
    </row>
    <row r="94" spans="1:47" x14ac:dyDescent="0.2">
      <c r="A94" t="s">
        <v>75</v>
      </c>
      <c r="B94" t="s">
        <v>283</v>
      </c>
      <c r="C94" s="2">
        <v>45579</v>
      </c>
      <c r="D94" t="s">
        <v>23</v>
      </c>
      <c r="E94" t="s">
        <v>24</v>
      </c>
      <c r="F94" t="s">
        <v>137</v>
      </c>
      <c r="G94" t="s">
        <v>0</v>
      </c>
      <c r="H94" t="s">
        <v>3</v>
      </c>
      <c r="I94" t="s">
        <v>4</v>
      </c>
      <c r="J94" t="s">
        <v>304</v>
      </c>
      <c r="K94" s="3">
        <v>0</v>
      </c>
      <c r="L94" t="s">
        <v>27</v>
      </c>
      <c r="M94" t="s">
        <v>27</v>
      </c>
      <c r="N94" t="s">
        <v>27</v>
      </c>
      <c r="O94" t="s">
        <v>139</v>
      </c>
      <c r="P94" t="s">
        <v>140</v>
      </c>
      <c r="Q94" s="3">
        <v>18</v>
      </c>
      <c r="R94" s="4">
        <v>76.5</v>
      </c>
      <c r="S94" t="s">
        <v>8</v>
      </c>
      <c r="T94" s="2">
        <v>45699</v>
      </c>
      <c r="U94" s="2">
        <v>45699</v>
      </c>
      <c r="V94" t="s">
        <v>285</v>
      </c>
      <c r="W94" t="s">
        <v>286</v>
      </c>
      <c r="X94" t="s">
        <v>80</v>
      </c>
      <c r="Y94" t="s">
        <v>33</v>
      </c>
      <c r="Z94" t="s">
        <v>34</v>
      </c>
      <c r="AA94" t="s">
        <v>81</v>
      </c>
      <c r="AB94" s="2">
        <v>45621</v>
      </c>
      <c r="AC94" s="2">
        <v>45665</v>
      </c>
      <c r="AD94" t="s">
        <v>0</v>
      </c>
      <c r="AE94" s="2"/>
      <c r="AF94" s="2"/>
      <c r="AG94" t="s">
        <v>305</v>
      </c>
      <c r="AH94" t="s">
        <v>83</v>
      </c>
      <c r="AI94" s="2">
        <v>45604</v>
      </c>
      <c r="AJ94" s="4">
        <v>76.5</v>
      </c>
      <c r="AK94" s="2">
        <v>45675</v>
      </c>
      <c r="AL94" s="2"/>
      <c r="AM94" t="s">
        <v>12</v>
      </c>
      <c r="AN94" s="5">
        <v>0.81922099999999998</v>
      </c>
      <c r="AO94" t="s">
        <v>38</v>
      </c>
      <c r="AP94" t="s">
        <v>142</v>
      </c>
      <c r="AQ94" t="s">
        <v>143</v>
      </c>
      <c r="AR94" s="6">
        <v>1</v>
      </c>
      <c r="AS94" s="3">
        <v>18</v>
      </c>
      <c r="AT94" t="s">
        <v>13</v>
      </c>
      <c r="AU94" s="9">
        <f t="shared" si="1"/>
        <v>45675</v>
      </c>
    </row>
    <row r="95" spans="1:47" x14ac:dyDescent="0.2">
      <c r="A95" t="s">
        <v>75</v>
      </c>
      <c r="B95" t="s">
        <v>283</v>
      </c>
      <c r="C95" s="2">
        <v>45579</v>
      </c>
      <c r="D95" t="s">
        <v>23</v>
      </c>
      <c r="E95" t="s">
        <v>24</v>
      </c>
      <c r="F95" t="s">
        <v>0</v>
      </c>
      <c r="G95" t="s">
        <v>0</v>
      </c>
      <c r="H95" t="s">
        <v>3</v>
      </c>
      <c r="I95" t="s">
        <v>4</v>
      </c>
      <c r="J95" t="s">
        <v>306</v>
      </c>
      <c r="K95" s="3">
        <v>0</v>
      </c>
      <c r="L95" t="s">
        <v>27</v>
      </c>
      <c r="M95" t="s">
        <v>27</v>
      </c>
      <c r="N95" t="s">
        <v>27</v>
      </c>
      <c r="O95" t="s">
        <v>145</v>
      </c>
      <c r="P95" t="s">
        <v>146</v>
      </c>
      <c r="Q95" s="3">
        <v>2</v>
      </c>
      <c r="R95" s="4">
        <v>1.9</v>
      </c>
      <c r="S95" t="s">
        <v>8</v>
      </c>
      <c r="T95" s="2">
        <v>45699</v>
      </c>
      <c r="U95" s="2">
        <v>45699</v>
      </c>
      <c r="V95" t="s">
        <v>285</v>
      </c>
      <c r="W95" t="s">
        <v>286</v>
      </c>
      <c r="X95" t="s">
        <v>80</v>
      </c>
      <c r="Y95" t="s">
        <v>33</v>
      </c>
      <c r="Z95" t="s">
        <v>34</v>
      </c>
      <c r="AA95" t="s">
        <v>81</v>
      </c>
      <c r="AB95" s="2">
        <v>45621</v>
      </c>
      <c r="AC95" s="2">
        <v>45665</v>
      </c>
      <c r="AD95" t="s">
        <v>0</v>
      </c>
      <c r="AE95" s="2"/>
      <c r="AF95" s="2"/>
      <c r="AG95" t="s">
        <v>67</v>
      </c>
      <c r="AH95" t="s">
        <v>83</v>
      </c>
      <c r="AI95" s="2">
        <v>45604</v>
      </c>
      <c r="AJ95" s="4">
        <v>1.9</v>
      </c>
      <c r="AK95" s="2">
        <v>45675</v>
      </c>
      <c r="AL95" s="2"/>
      <c r="AM95" t="s">
        <v>12</v>
      </c>
      <c r="AN95" s="5">
        <v>2.0347000000000001E-2</v>
      </c>
      <c r="AO95" t="s">
        <v>38</v>
      </c>
      <c r="AP95" t="s">
        <v>128</v>
      </c>
      <c r="AQ95" t="s">
        <v>122</v>
      </c>
      <c r="AR95" s="6">
        <v>1</v>
      </c>
      <c r="AS95" s="3">
        <v>2</v>
      </c>
      <c r="AT95" t="s">
        <v>13</v>
      </c>
      <c r="AU95" s="9">
        <f t="shared" si="1"/>
        <v>45675</v>
      </c>
    </row>
    <row r="96" spans="1:47" x14ac:dyDescent="0.2">
      <c r="A96" t="s">
        <v>75</v>
      </c>
      <c r="B96" t="s">
        <v>283</v>
      </c>
      <c r="C96" s="2">
        <v>45579</v>
      </c>
      <c r="D96" t="s">
        <v>23</v>
      </c>
      <c r="E96" t="s">
        <v>24</v>
      </c>
      <c r="F96" t="s">
        <v>0</v>
      </c>
      <c r="G96" t="s">
        <v>0</v>
      </c>
      <c r="H96" t="s">
        <v>3</v>
      </c>
      <c r="I96" t="s">
        <v>4</v>
      </c>
      <c r="J96" t="s">
        <v>307</v>
      </c>
      <c r="K96" s="3">
        <v>0</v>
      </c>
      <c r="L96" t="s">
        <v>27</v>
      </c>
      <c r="M96" t="s">
        <v>27</v>
      </c>
      <c r="N96" t="s">
        <v>27</v>
      </c>
      <c r="O96" t="s">
        <v>148</v>
      </c>
      <c r="P96" t="s">
        <v>149</v>
      </c>
      <c r="Q96" s="3">
        <v>5</v>
      </c>
      <c r="R96" s="4">
        <v>87.6</v>
      </c>
      <c r="S96" t="s">
        <v>8</v>
      </c>
      <c r="T96" s="2">
        <v>45699</v>
      </c>
      <c r="U96" s="2">
        <v>45699</v>
      </c>
      <c r="V96" t="s">
        <v>285</v>
      </c>
      <c r="W96" t="s">
        <v>286</v>
      </c>
      <c r="X96" t="s">
        <v>80</v>
      </c>
      <c r="Y96" t="s">
        <v>33</v>
      </c>
      <c r="Z96" t="s">
        <v>34</v>
      </c>
      <c r="AA96" t="s">
        <v>81</v>
      </c>
      <c r="AB96" s="2">
        <v>45621</v>
      </c>
      <c r="AC96" s="2">
        <v>45665</v>
      </c>
      <c r="AD96" t="s">
        <v>0</v>
      </c>
      <c r="AE96" s="2"/>
      <c r="AF96" s="2"/>
      <c r="AG96" t="s">
        <v>141</v>
      </c>
      <c r="AH96" t="s">
        <v>83</v>
      </c>
      <c r="AI96" s="2">
        <v>45604</v>
      </c>
      <c r="AJ96" s="4">
        <v>87.6</v>
      </c>
      <c r="AK96" s="2">
        <v>45675</v>
      </c>
      <c r="AL96" s="2"/>
      <c r="AM96" t="s">
        <v>12</v>
      </c>
      <c r="AN96" s="5">
        <v>0.93808800000000003</v>
      </c>
      <c r="AO96" t="s">
        <v>38</v>
      </c>
      <c r="AP96" t="s">
        <v>150</v>
      </c>
      <c r="AQ96" t="s">
        <v>122</v>
      </c>
      <c r="AR96" s="6">
        <v>1</v>
      </c>
      <c r="AS96" s="3">
        <v>5</v>
      </c>
      <c r="AT96" t="s">
        <v>13</v>
      </c>
      <c r="AU96" s="9">
        <f t="shared" si="1"/>
        <v>45675</v>
      </c>
    </row>
    <row r="97" spans="1:47" x14ac:dyDescent="0.2">
      <c r="A97" t="s">
        <v>75</v>
      </c>
      <c r="B97" t="s">
        <v>283</v>
      </c>
      <c r="C97" s="2">
        <v>45579</v>
      </c>
      <c r="D97" t="s">
        <v>23</v>
      </c>
      <c r="E97" t="s">
        <v>24</v>
      </c>
      <c r="F97" t="s">
        <v>25</v>
      </c>
      <c r="G97" t="s">
        <v>0</v>
      </c>
      <c r="H97" t="s">
        <v>3</v>
      </c>
      <c r="I97" t="s">
        <v>4</v>
      </c>
      <c r="J97" t="s">
        <v>308</v>
      </c>
      <c r="K97" s="3">
        <v>0</v>
      </c>
      <c r="L97" t="s">
        <v>27</v>
      </c>
      <c r="M97" t="s">
        <v>27</v>
      </c>
      <c r="N97" t="s">
        <v>27</v>
      </c>
      <c r="O97" t="s">
        <v>28</v>
      </c>
      <c r="P97" t="s">
        <v>29</v>
      </c>
      <c r="Q97" s="3">
        <v>25</v>
      </c>
      <c r="R97" s="4">
        <v>5333</v>
      </c>
      <c r="S97" t="s">
        <v>8</v>
      </c>
      <c r="T97" s="2">
        <v>45699</v>
      </c>
      <c r="U97" s="2">
        <v>45699</v>
      </c>
      <c r="V97" t="s">
        <v>285</v>
      </c>
      <c r="W97" t="s">
        <v>286</v>
      </c>
      <c r="X97" t="s">
        <v>80</v>
      </c>
      <c r="Y97" t="s">
        <v>33</v>
      </c>
      <c r="Z97" t="s">
        <v>34</v>
      </c>
      <c r="AA97" t="s">
        <v>81</v>
      </c>
      <c r="AB97" s="2">
        <v>45621</v>
      </c>
      <c r="AC97" s="2">
        <v>45665</v>
      </c>
      <c r="AD97" t="s">
        <v>0</v>
      </c>
      <c r="AE97" s="2"/>
      <c r="AF97" s="2"/>
      <c r="AG97" t="s">
        <v>187</v>
      </c>
      <c r="AH97" t="s">
        <v>83</v>
      </c>
      <c r="AI97" s="2">
        <v>45604</v>
      </c>
      <c r="AJ97" s="4">
        <v>5333</v>
      </c>
      <c r="AK97" s="2">
        <v>45675</v>
      </c>
      <c r="AL97" s="2"/>
      <c r="AM97" t="s">
        <v>12</v>
      </c>
      <c r="AN97" s="5">
        <v>57.109850000000002</v>
      </c>
      <c r="AO97" t="s">
        <v>38</v>
      </c>
      <c r="AP97" t="s">
        <v>39</v>
      </c>
      <c r="AQ97" t="s">
        <v>40</v>
      </c>
      <c r="AR97" s="6">
        <v>1</v>
      </c>
      <c r="AS97" s="3">
        <v>25</v>
      </c>
      <c r="AT97" t="s">
        <v>13</v>
      </c>
      <c r="AU97" s="9">
        <f t="shared" si="1"/>
        <v>45675</v>
      </c>
    </row>
    <row r="98" spans="1:47" x14ac:dyDescent="0.2">
      <c r="A98" t="s">
        <v>75</v>
      </c>
      <c r="B98" t="s">
        <v>283</v>
      </c>
      <c r="C98" s="2">
        <v>45579</v>
      </c>
      <c r="D98" t="s">
        <v>23</v>
      </c>
      <c r="E98" t="s">
        <v>24</v>
      </c>
      <c r="F98" t="s">
        <v>0</v>
      </c>
      <c r="G98" t="s">
        <v>0</v>
      </c>
      <c r="H98" t="s">
        <v>3</v>
      </c>
      <c r="I98" t="s">
        <v>4</v>
      </c>
      <c r="J98" t="s">
        <v>309</v>
      </c>
      <c r="K98" s="3">
        <v>0</v>
      </c>
      <c r="L98" t="s">
        <v>27</v>
      </c>
      <c r="M98" t="s">
        <v>27</v>
      </c>
      <c r="N98" t="s">
        <v>27</v>
      </c>
      <c r="O98" t="s">
        <v>310</v>
      </c>
      <c r="P98" t="s">
        <v>209</v>
      </c>
      <c r="Q98" s="3">
        <v>4</v>
      </c>
      <c r="R98" s="4">
        <v>922.24</v>
      </c>
      <c r="S98" t="s">
        <v>8</v>
      </c>
      <c r="T98" s="2">
        <v>45699</v>
      </c>
      <c r="U98" s="2">
        <v>45699</v>
      </c>
      <c r="V98" t="s">
        <v>285</v>
      </c>
      <c r="W98" t="s">
        <v>286</v>
      </c>
      <c r="X98" t="s">
        <v>80</v>
      </c>
      <c r="Y98" t="s">
        <v>33</v>
      </c>
      <c r="Z98" t="s">
        <v>34</v>
      </c>
      <c r="AA98" t="s">
        <v>81</v>
      </c>
      <c r="AB98" s="2">
        <v>45621</v>
      </c>
      <c r="AC98" s="2">
        <v>45665</v>
      </c>
      <c r="AD98" t="s">
        <v>0</v>
      </c>
      <c r="AE98" s="2"/>
      <c r="AF98" s="2"/>
      <c r="AG98" t="s">
        <v>44</v>
      </c>
      <c r="AH98" t="s">
        <v>83</v>
      </c>
      <c r="AI98" s="2">
        <v>45604</v>
      </c>
      <c r="AJ98" s="4">
        <v>922.24</v>
      </c>
      <c r="AK98" s="2">
        <v>45675</v>
      </c>
      <c r="AL98" s="2"/>
      <c r="AM98" t="s">
        <v>12</v>
      </c>
      <c r="AN98" s="5">
        <v>9.8760530000000006</v>
      </c>
      <c r="AO98" t="s">
        <v>38</v>
      </c>
      <c r="AP98" t="s">
        <v>39</v>
      </c>
      <c r="AQ98" t="s">
        <v>122</v>
      </c>
      <c r="AR98" s="6">
        <v>1</v>
      </c>
      <c r="AS98" s="3">
        <v>4</v>
      </c>
      <c r="AT98" t="s">
        <v>13</v>
      </c>
      <c r="AU98" s="9">
        <f t="shared" si="1"/>
        <v>45675</v>
      </c>
    </row>
    <row r="99" spans="1:47" x14ac:dyDescent="0.2">
      <c r="A99" t="s">
        <v>75</v>
      </c>
      <c r="B99" t="s">
        <v>283</v>
      </c>
      <c r="C99" s="2">
        <v>45579</v>
      </c>
      <c r="D99" t="s">
        <v>23</v>
      </c>
      <c r="E99" t="s">
        <v>24</v>
      </c>
      <c r="F99" t="s">
        <v>0</v>
      </c>
      <c r="G99" t="s">
        <v>0</v>
      </c>
      <c r="H99" t="s">
        <v>3</v>
      </c>
      <c r="I99" t="s">
        <v>4</v>
      </c>
      <c r="J99" t="s">
        <v>311</v>
      </c>
      <c r="K99" s="3">
        <v>0</v>
      </c>
      <c r="L99" t="s">
        <v>27</v>
      </c>
      <c r="M99" t="s">
        <v>27</v>
      </c>
      <c r="N99" t="s">
        <v>27</v>
      </c>
      <c r="O99" t="s">
        <v>154</v>
      </c>
      <c r="P99" t="s">
        <v>149</v>
      </c>
      <c r="Q99" s="3">
        <v>2</v>
      </c>
      <c r="R99" s="4">
        <v>1.46</v>
      </c>
      <c r="S99" t="s">
        <v>8</v>
      </c>
      <c r="T99" s="2">
        <v>45699</v>
      </c>
      <c r="U99" s="2">
        <v>45699</v>
      </c>
      <c r="V99" t="s">
        <v>285</v>
      </c>
      <c r="W99" t="s">
        <v>286</v>
      </c>
      <c r="X99" t="s">
        <v>80</v>
      </c>
      <c r="Y99" t="s">
        <v>33</v>
      </c>
      <c r="Z99" t="s">
        <v>34</v>
      </c>
      <c r="AA99" t="s">
        <v>81</v>
      </c>
      <c r="AB99" s="2">
        <v>45621</v>
      </c>
      <c r="AC99" s="2">
        <v>45665</v>
      </c>
      <c r="AD99" t="s">
        <v>0</v>
      </c>
      <c r="AE99" s="2"/>
      <c r="AF99" s="2"/>
      <c r="AG99" t="s">
        <v>67</v>
      </c>
      <c r="AH99" t="s">
        <v>83</v>
      </c>
      <c r="AI99" s="2">
        <v>45604</v>
      </c>
      <c r="AJ99" s="4">
        <v>1.46</v>
      </c>
      <c r="AK99" s="2">
        <v>45675</v>
      </c>
      <c r="AL99" s="2"/>
      <c r="AM99" t="s">
        <v>12</v>
      </c>
      <c r="AN99" s="5">
        <v>1.5635E-2</v>
      </c>
      <c r="AO99" t="s">
        <v>38</v>
      </c>
      <c r="AP99" t="s">
        <v>150</v>
      </c>
      <c r="AQ99" t="s">
        <v>122</v>
      </c>
      <c r="AR99" s="6">
        <v>1</v>
      </c>
      <c r="AS99" s="3">
        <v>2</v>
      </c>
      <c r="AT99" t="s">
        <v>13</v>
      </c>
      <c r="AU99" s="9">
        <f t="shared" si="1"/>
        <v>45675</v>
      </c>
    </row>
    <row r="100" spans="1:47" x14ac:dyDescent="0.2">
      <c r="A100" t="s">
        <v>75</v>
      </c>
      <c r="B100" t="s">
        <v>283</v>
      </c>
      <c r="C100" s="2">
        <v>45579</v>
      </c>
      <c r="D100" t="s">
        <v>23</v>
      </c>
      <c r="E100" t="s">
        <v>24</v>
      </c>
      <c r="F100" t="s">
        <v>0</v>
      </c>
      <c r="G100" t="s">
        <v>0</v>
      </c>
      <c r="H100" t="s">
        <v>3</v>
      </c>
      <c r="I100" t="s">
        <v>4</v>
      </c>
      <c r="J100" t="s">
        <v>312</v>
      </c>
      <c r="K100" s="3">
        <v>0</v>
      </c>
      <c r="L100" t="s">
        <v>27</v>
      </c>
      <c r="M100" t="s">
        <v>27</v>
      </c>
      <c r="N100" t="s">
        <v>27</v>
      </c>
      <c r="O100" t="s">
        <v>156</v>
      </c>
      <c r="P100" t="s">
        <v>157</v>
      </c>
      <c r="Q100" s="3">
        <v>15</v>
      </c>
      <c r="R100" s="4">
        <v>1285.95</v>
      </c>
      <c r="S100" t="s">
        <v>8</v>
      </c>
      <c r="T100" s="2">
        <v>45699</v>
      </c>
      <c r="U100" s="2">
        <v>45699</v>
      </c>
      <c r="V100" t="s">
        <v>285</v>
      </c>
      <c r="W100" t="s">
        <v>286</v>
      </c>
      <c r="X100" t="s">
        <v>80</v>
      </c>
      <c r="Y100" t="s">
        <v>33</v>
      </c>
      <c r="Z100" t="s">
        <v>34</v>
      </c>
      <c r="AA100" t="s">
        <v>81</v>
      </c>
      <c r="AB100" s="2">
        <v>45621</v>
      </c>
      <c r="AC100" s="2">
        <v>45665</v>
      </c>
      <c r="AD100" t="s">
        <v>0</v>
      </c>
      <c r="AE100" s="2"/>
      <c r="AF100" s="2"/>
      <c r="AG100" t="s">
        <v>52</v>
      </c>
      <c r="AH100" t="s">
        <v>83</v>
      </c>
      <c r="AI100" s="2">
        <v>45604</v>
      </c>
      <c r="AJ100" s="4">
        <v>1285.95</v>
      </c>
      <c r="AK100" s="2">
        <v>45675</v>
      </c>
      <c r="AL100" s="2"/>
      <c r="AM100" t="s">
        <v>12</v>
      </c>
      <c r="AN100" s="5">
        <v>13.770937999999999</v>
      </c>
      <c r="AO100" t="s">
        <v>38</v>
      </c>
      <c r="AP100" t="s">
        <v>39</v>
      </c>
      <c r="AQ100" t="s">
        <v>40</v>
      </c>
      <c r="AR100" s="6">
        <v>1</v>
      </c>
      <c r="AS100" s="3">
        <v>15</v>
      </c>
      <c r="AT100" t="s">
        <v>13</v>
      </c>
      <c r="AU100" s="9">
        <f t="shared" si="1"/>
        <v>45675</v>
      </c>
    </row>
    <row r="101" spans="1:47" x14ac:dyDescent="0.2">
      <c r="A101" t="s">
        <v>75</v>
      </c>
      <c r="B101" t="s">
        <v>283</v>
      </c>
      <c r="C101" s="2">
        <v>45579</v>
      </c>
      <c r="D101" t="s">
        <v>23</v>
      </c>
      <c r="E101" t="s">
        <v>24</v>
      </c>
      <c r="F101" t="s">
        <v>0</v>
      </c>
      <c r="G101" t="s">
        <v>0</v>
      </c>
      <c r="H101" t="s">
        <v>3</v>
      </c>
      <c r="I101" t="s">
        <v>4</v>
      </c>
      <c r="J101" t="s">
        <v>313</v>
      </c>
      <c r="K101" s="3">
        <v>0</v>
      </c>
      <c r="L101" t="s">
        <v>27</v>
      </c>
      <c r="M101" t="s">
        <v>27</v>
      </c>
      <c r="N101" t="s">
        <v>27</v>
      </c>
      <c r="O101" t="s">
        <v>17</v>
      </c>
      <c r="P101" t="s">
        <v>18</v>
      </c>
      <c r="Q101" s="3">
        <v>7</v>
      </c>
      <c r="R101" s="4">
        <v>2657.06</v>
      </c>
      <c r="S101" t="s">
        <v>8</v>
      </c>
      <c r="T101" s="2">
        <v>45699</v>
      </c>
      <c r="U101" s="2">
        <v>45699</v>
      </c>
      <c r="V101" t="s">
        <v>285</v>
      </c>
      <c r="W101" t="s">
        <v>286</v>
      </c>
      <c r="X101" t="s">
        <v>80</v>
      </c>
      <c r="Y101" t="s">
        <v>33</v>
      </c>
      <c r="Z101" t="s">
        <v>34</v>
      </c>
      <c r="AA101" t="s">
        <v>81</v>
      </c>
      <c r="AB101" s="2">
        <v>45621</v>
      </c>
      <c r="AC101" s="2">
        <v>45665</v>
      </c>
      <c r="AD101" t="s">
        <v>0</v>
      </c>
      <c r="AE101" s="2"/>
      <c r="AF101" s="2"/>
      <c r="AG101" t="s">
        <v>120</v>
      </c>
      <c r="AH101" t="s">
        <v>83</v>
      </c>
      <c r="AI101" s="2">
        <v>45604</v>
      </c>
      <c r="AJ101" s="4">
        <v>2657.06</v>
      </c>
      <c r="AK101" s="2">
        <v>45675</v>
      </c>
      <c r="AL101" s="2"/>
      <c r="AM101" t="s">
        <v>12</v>
      </c>
      <c r="AN101" s="5">
        <v>28.453834000000001</v>
      </c>
      <c r="AO101" t="s">
        <v>38</v>
      </c>
      <c r="AP101" t="s">
        <v>39</v>
      </c>
      <c r="AQ101" t="s">
        <v>40</v>
      </c>
      <c r="AR101" s="6">
        <v>1</v>
      </c>
      <c r="AS101" s="3">
        <v>7</v>
      </c>
      <c r="AT101" t="s">
        <v>13</v>
      </c>
      <c r="AU101" s="9">
        <f t="shared" si="1"/>
        <v>45675</v>
      </c>
    </row>
    <row r="102" spans="1:47" x14ac:dyDescent="0.2">
      <c r="A102" t="s">
        <v>75</v>
      </c>
      <c r="B102" t="s">
        <v>283</v>
      </c>
      <c r="C102" s="2">
        <v>45579</v>
      </c>
      <c r="D102" t="s">
        <v>23</v>
      </c>
      <c r="E102" t="s">
        <v>24</v>
      </c>
      <c r="F102" t="s">
        <v>0</v>
      </c>
      <c r="G102" t="s">
        <v>0</v>
      </c>
      <c r="H102" t="s">
        <v>3</v>
      </c>
      <c r="I102" t="s">
        <v>4</v>
      </c>
      <c r="J102" t="s">
        <v>314</v>
      </c>
      <c r="K102" s="3">
        <v>0</v>
      </c>
      <c r="L102" t="s">
        <v>27</v>
      </c>
      <c r="M102" t="s">
        <v>27</v>
      </c>
      <c r="N102" t="s">
        <v>27</v>
      </c>
      <c r="O102" t="s">
        <v>235</v>
      </c>
      <c r="P102" t="s">
        <v>236</v>
      </c>
      <c r="Q102" s="3">
        <v>3</v>
      </c>
      <c r="R102" s="4">
        <v>347.25</v>
      </c>
      <c r="S102" t="s">
        <v>8</v>
      </c>
      <c r="T102" s="2">
        <v>45699</v>
      </c>
      <c r="U102" s="2">
        <v>45699</v>
      </c>
      <c r="V102" t="s">
        <v>285</v>
      </c>
      <c r="W102" t="s">
        <v>286</v>
      </c>
      <c r="X102" t="s">
        <v>80</v>
      </c>
      <c r="Y102" t="s">
        <v>33</v>
      </c>
      <c r="Z102" t="s">
        <v>34</v>
      </c>
      <c r="AA102" t="s">
        <v>81</v>
      </c>
      <c r="AB102" s="2">
        <v>45621</v>
      </c>
      <c r="AC102" s="2">
        <v>45665</v>
      </c>
      <c r="AD102" t="s">
        <v>0</v>
      </c>
      <c r="AE102" s="2"/>
      <c r="AF102" s="2"/>
      <c r="AG102" t="s">
        <v>56</v>
      </c>
      <c r="AH102" t="s">
        <v>83</v>
      </c>
      <c r="AI102" s="2">
        <v>45604</v>
      </c>
      <c r="AJ102" s="4">
        <v>347.25</v>
      </c>
      <c r="AK102" s="2">
        <v>45675</v>
      </c>
      <c r="AL102" s="2"/>
      <c r="AM102" t="s">
        <v>12</v>
      </c>
      <c r="AN102" s="5">
        <v>3.7186189999999999</v>
      </c>
      <c r="AO102" t="s">
        <v>38</v>
      </c>
      <c r="AP102" t="s">
        <v>39</v>
      </c>
      <c r="AQ102" t="s">
        <v>40</v>
      </c>
      <c r="AR102" s="6">
        <v>1</v>
      </c>
      <c r="AS102" s="3">
        <v>3</v>
      </c>
      <c r="AT102" t="s">
        <v>13</v>
      </c>
      <c r="AU102" s="9">
        <f t="shared" si="1"/>
        <v>45675</v>
      </c>
    </row>
    <row r="103" spans="1:47" x14ac:dyDescent="0.2">
      <c r="A103" t="s">
        <v>75</v>
      </c>
      <c r="B103" t="s">
        <v>283</v>
      </c>
      <c r="C103" s="2">
        <v>45579</v>
      </c>
      <c r="D103" t="s">
        <v>23</v>
      </c>
      <c r="E103" t="s">
        <v>24</v>
      </c>
      <c r="F103" t="s">
        <v>0</v>
      </c>
      <c r="G103" t="s">
        <v>0</v>
      </c>
      <c r="H103" t="s">
        <v>3</v>
      </c>
      <c r="I103" t="s">
        <v>4</v>
      </c>
      <c r="J103" t="s">
        <v>315</v>
      </c>
      <c r="K103" s="3">
        <v>0</v>
      </c>
      <c r="L103" t="s">
        <v>27</v>
      </c>
      <c r="M103" t="s">
        <v>27</v>
      </c>
      <c r="N103" t="s">
        <v>27</v>
      </c>
      <c r="O103" t="s">
        <v>238</v>
      </c>
      <c r="P103" t="s">
        <v>209</v>
      </c>
      <c r="Q103" s="3">
        <v>1</v>
      </c>
      <c r="R103" s="4">
        <v>25.29</v>
      </c>
      <c r="S103" t="s">
        <v>8</v>
      </c>
      <c r="T103" s="2">
        <v>45699</v>
      </c>
      <c r="U103" s="2">
        <v>45699</v>
      </c>
      <c r="V103" t="s">
        <v>285</v>
      </c>
      <c r="W103" t="s">
        <v>286</v>
      </c>
      <c r="X103" t="s">
        <v>80</v>
      </c>
      <c r="Y103" t="s">
        <v>33</v>
      </c>
      <c r="Z103" t="s">
        <v>34</v>
      </c>
      <c r="AA103" t="s">
        <v>81</v>
      </c>
      <c r="AB103" s="2">
        <v>45621</v>
      </c>
      <c r="AC103" s="2">
        <v>45665</v>
      </c>
      <c r="AD103" t="s">
        <v>0</v>
      </c>
      <c r="AE103" s="2"/>
      <c r="AF103" s="2"/>
      <c r="AG103" t="s">
        <v>98</v>
      </c>
      <c r="AH103" t="s">
        <v>83</v>
      </c>
      <c r="AI103" s="2">
        <v>45604</v>
      </c>
      <c r="AJ103" s="4">
        <v>25.29</v>
      </c>
      <c r="AK103" s="2">
        <v>45675</v>
      </c>
      <c r="AL103" s="2"/>
      <c r="AM103" t="s">
        <v>12</v>
      </c>
      <c r="AN103" s="5">
        <v>0.27082499999999998</v>
      </c>
      <c r="AO103" t="s">
        <v>38</v>
      </c>
      <c r="AP103" t="s">
        <v>39</v>
      </c>
      <c r="AQ103" t="s">
        <v>122</v>
      </c>
      <c r="AR103" s="6">
        <v>1</v>
      </c>
      <c r="AS103" s="3">
        <v>1</v>
      </c>
      <c r="AT103" t="s">
        <v>13</v>
      </c>
      <c r="AU103" s="9">
        <f t="shared" si="1"/>
        <v>45675</v>
      </c>
    </row>
    <row r="104" spans="1:47" x14ac:dyDescent="0.2">
      <c r="A104" t="s">
        <v>75</v>
      </c>
      <c r="B104" t="s">
        <v>283</v>
      </c>
      <c r="C104" s="2">
        <v>45579</v>
      </c>
      <c r="D104" t="s">
        <v>23</v>
      </c>
      <c r="E104" t="s">
        <v>24</v>
      </c>
      <c r="F104" t="s">
        <v>0</v>
      </c>
      <c r="G104" t="s">
        <v>0</v>
      </c>
      <c r="H104" t="s">
        <v>3</v>
      </c>
      <c r="I104" t="s">
        <v>4</v>
      </c>
      <c r="J104" t="s">
        <v>316</v>
      </c>
      <c r="K104" s="3">
        <v>0</v>
      </c>
      <c r="L104" t="s">
        <v>27</v>
      </c>
      <c r="M104" t="s">
        <v>27</v>
      </c>
      <c r="N104" t="s">
        <v>27</v>
      </c>
      <c r="O104" t="s">
        <v>161</v>
      </c>
      <c r="P104" t="s">
        <v>162</v>
      </c>
      <c r="Q104" s="3">
        <v>1</v>
      </c>
      <c r="R104" s="4">
        <v>22.47</v>
      </c>
      <c r="S104" t="s">
        <v>8</v>
      </c>
      <c r="T104" s="2">
        <v>45699</v>
      </c>
      <c r="U104" s="2">
        <v>45699</v>
      </c>
      <c r="V104" t="s">
        <v>285</v>
      </c>
      <c r="W104" t="s">
        <v>286</v>
      </c>
      <c r="X104" t="s">
        <v>80</v>
      </c>
      <c r="Y104" t="s">
        <v>33</v>
      </c>
      <c r="Z104" t="s">
        <v>34</v>
      </c>
      <c r="AA104" t="s">
        <v>81</v>
      </c>
      <c r="AB104" s="2">
        <v>45621</v>
      </c>
      <c r="AC104" s="2">
        <v>45665</v>
      </c>
      <c r="AD104" t="s">
        <v>0</v>
      </c>
      <c r="AE104" s="2"/>
      <c r="AF104" s="2"/>
      <c r="AG104" t="s">
        <v>98</v>
      </c>
      <c r="AH104" t="s">
        <v>83</v>
      </c>
      <c r="AI104" s="2">
        <v>45604</v>
      </c>
      <c r="AJ104" s="4">
        <v>22.47</v>
      </c>
      <c r="AK104" s="2">
        <v>45675</v>
      </c>
      <c r="AL104" s="2"/>
      <c r="AM104" t="s">
        <v>12</v>
      </c>
      <c r="AN104" s="5">
        <v>0.24062600000000001</v>
      </c>
      <c r="AO104" t="s">
        <v>38</v>
      </c>
      <c r="AP104" t="s">
        <v>39</v>
      </c>
      <c r="AQ104" t="s">
        <v>122</v>
      </c>
      <c r="AR104" s="6">
        <v>1</v>
      </c>
      <c r="AS104" s="3">
        <v>1</v>
      </c>
      <c r="AT104" t="s">
        <v>13</v>
      </c>
      <c r="AU104" s="9">
        <f t="shared" si="1"/>
        <v>45675</v>
      </c>
    </row>
    <row r="105" spans="1:47" x14ac:dyDescent="0.2">
      <c r="A105" t="s">
        <v>0</v>
      </c>
      <c r="B105" t="s">
        <v>283</v>
      </c>
      <c r="C105" s="2">
        <v>45579</v>
      </c>
      <c r="D105" t="s">
        <v>0</v>
      </c>
      <c r="E105" t="s">
        <v>24</v>
      </c>
      <c r="F105" t="s">
        <v>0</v>
      </c>
      <c r="G105" t="s">
        <v>0</v>
      </c>
      <c r="H105" t="s">
        <v>3</v>
      </c>
      <c r="I105" t="s">
        <v>4</v>
      </c>
      <c r="J105" t="s">
        <v>317</v>
      </c>
      <c r="K105" s="3">
        <v>1</v>
      </c>
      <c r="L105" t="s">
        <v>0</v>
      </c>
      <c r="M105" t="s">
        <v>0</v>
      </c>
      <c r="N105" t="s">
        <v>0</v>
      </c>
      <c r="O105" t="s">
        <v>164</v>
      </c>
      <c r="P105" t="s">
        <v>165</v>
      </c>
      <c r="Q105" s="3">
        <v>1</v>
      </c>
      <c r="R105" s="4">
        <v>9.5500000000000007</v>
      </c>
      <c r="S105" t="s">
        <v>8</v>
      </c>
      <c r="T105" s="2">
        <v>45699</v>
      </c>
      <c r="U105" s="2">
        <v>45699</v>
      </c>
      <c r="V105" t="s">
        <v>285</v>
      </c>
      <c r="W105" t="s">
        <v>286</v>
      </c>
      <c r="X105" t="s">
        <v>0</v>
      </c>
      <c r="Y105" t="s">
        <v>0</v>
      </c>
      <c r="Z105" t="s">
        <v>0</v>
      </c>
      <c r="AA105" t="s">
        <v>0</v>
      </c>
      <c r="AB105" s="2"/>
      <c r="AC105" s="2"/>
      <c r="AD105" t="s">
        <v>0</v>
      </c>
      <c r="AE105" s="2"/>
      <c r="AF105" s="2"/>
      <c r="AG105" t="s">
        <v>11</v>
      </c>
      <c r="AH105" t="s">
        <v>0</v>
      </c>
      <c r="AI105" s="2"/>
      <c r="AJ105" s="4">
        <v>0</v>
      </c>
      <c r="AK105" s="2"/>
      <c r="AL105" s="2"/>
      <c r="AM105" t="s">
        <v>12</v>
      </c>
      <c r="AN105" s="5">
        <v>0</v>
      </c>
      <c r="AO105" t="s">
        <v>0</v>
      </c>
      <c r="AP105" t="s">
        <v>0</v>
      </c>
      <c r="AQ105" t="s">
        <v>0</v>
      </c>
      <c r="AR105" s="6">
        <v>1</v>
      </c>
      <c r="AS105" s="3">
        <v>1</v>
      </c>
      <c r="AT105" t="s">
        <v>13</v>
      </c>
      <c r="AU105" s="9">
        <f t="shared" si="1"/>
        <v>45699</v>
      </c>
    </row>
    <row r="106" spans="1:47" x14ac:dyDescent="0.2">
      <c r="A106" t="s">
        <v>0</v>
      </c>
      <c r="B106" t="s">
        <v>283</v>
      </c>
      <c r="C106" s="2">
        <v>45579</v>
      </c>
      <c r="D106" t="s">
        <v>0</v>
      </c>
      <c r="E106" t="s">
        <v>24</v>
      </c>
      <c r="F106" t="s">
        <v>0</v>
      </c>
      <c r="G106" t="s">
        <v>0</v>
      </c>
      <c r="H106" t="s">
        <v>3</v>
      </c>
      <c r="I106" t="s">
        <v>4</v>
      </c>
      <c r="J106" t="s">
        <v>318</v>
      </c>
      <c r="K106" s="3">
        <v>2</v>
      </c>
      <c r="L106" t="s">
        <v>0</v>
      </c>
      <c r="M106" t="s">
        <v>0</v>
      </c>
      <c r="N106" t="s">
        <v>0</v>
      </c>
      <c r="O106" t="s">
        <v>54</v>
      </c>
      <c r="P106" t="s">
        <v>55</v>
      </c>
      <c r="Q106" s="3">
        <v>2</v>
      </c>
      <c r="R106" s="4">
        <v>449.92</v>
      </c>
      <c r="S106" t="s">
        <v>8</v>
      </c>
      <c r="T106" s="2">
        <v>45699</v>
      </c>
      <c r="U106" s="2">
        <v>45699</v>
      </c>
      <c r="V106" t="s">
        <v>285</v>
      </c>
      <c r="W106" t="s">
        <v>286</v>
      </c>
      <c r="X106" t="s">
        <v>0</v>
      </c>
      <c r="Y106" t="s">
        <v>0</v>
      </c>
      <c r="Z106" t="s">
        <v>0</v>
      </c>
      <c r="AA106" t="s">
        <v>0</v>
      </c>
      <c r="AB106" s="2"/>
      <c r="AC106" s="2"/>
      <c r="AD106" t="s">
        <v>0</v>
      </c>
      <c r="AE106" s="2"/>
      <c r="AF106" s="2"/>
      <c r="AG106" t="s">
        <v>11</v>
      </c>
      <c r="AH106" t="s">
        <v>0</v>
      </c>
      <c r="AI106" s="2"/>
      <c r="AJ106" s="4">
        <v>0</v>
      </c>
      <c r="AK106" s="2"/>
      <c r="AL106" s="2"/>
      <c r="AM106" t="s">
        <v>12</v>
      </c>
      <c r="AN106" s="5">
        <v>0</v>
      </c>
      <c r="AO106" t="s">
        <v>0</v>
      </c>
      <c r="AP106" t="s">
        <v>0</v>
      </c>
      <c r="AQ106" t="s">
        <v>0</v>
      </c>
      <c r="AR106" s="6">
        <v>1</v>
      </c>
      <c r="AS106" s="3">
        <v>2</v>
      </c>
      <c r="AT106" t="s">
        <v>13</v>
      </c>
      <c r="AU106" s="9">
        <f t="shared" si="1"/>
        <v>45699</v>
      </c>
    </row>
    <row r="107" spans="1:47" x14ac:dyDescent="0.2">
      <c r="A107" t="s">
        <v>0</v>
      </c>
      <c r="B107" t="s">
        <v>283</v>
      </c>
      <c r="C107" s="2">
        <v>45579</v>
      </c>
      <c r="D107" t="s">
        <v>0</v>
      </c>
      <c r="E107" t="s">
        <v>24</v>
      </c>
      <c r="F107" t="s">
        <v>0</v>
      </c>
      <c r="G107" t="s">
        <v>0</v>
      </c>
      <c r="H107" t="s">
        <v>3</v>
      </c>
      <c r="I107" t="s">
        <v>4</v>
      </c>
      <c r="J107" t="s">
        <v>319</v>
      </c>
      <c r="K107" s="3">
        <v>2</v>
      </c>
      <c r="L107" t="s">
        <v>0</v>
      </c>
      <c r="M107" t="s">
        <v>0</v>
      </c>
      <c r="N107" t="s">
        <v>0</v>
      </c>
      <c r="O107" t="s">
        <v>249</v>
      </c>
      <c r="P107" t="s">
        <v>250</v>
      </c>
      <c r="Q107" s="3">
        <v>2</v>
      </c>
      <c r="R107" s="4">
        <v>175.3</v>
      </c>
      <c r="S107" t="s">
        <v>8</v>
      </c>
      <c r="T107" s="2">
        <v>45699</v>
      </c>
      <c r="U107" s="2">
        <v>45699</v>
      </c>
      <c r="V107" t="s">
        <v>285</v>
      </c>
      <c r="W107" t="s">
        <v>286</v>
      </c>
      <c r="X107" t="s">
        <v>0</v>
      </c>
      <c r="Y107" t="s">
        <v>0</v>
      </c>
      <c r="Z107" t="s">
        <v>0</v>
      </c>
      <c r="AA107" t="s">
        <v>0</v>
      </c>
      <c r="AB107" s="2"/>
      <c r="AC107" s="2"/>
      <c r="AD107" t="s">
        <v>0</v>
      </c>
      <c r="AE107" s="2"/>
      <c r="AF107" s="2"/>
      <c r="AG107" t="s">
        <v>11</v>
      </c>
      <c r="AH107" t="s">
        <v>0</v>
      </c>
      <c r="AI107" s="2"/>
      <c r="AJ107" s="4">
        <v>0</v>
      </c>
      <c r="AK107" s="2"/>
      <c r="AL107" s="2"/>
      <c r="AM107" t="s">
        <v>12</v>
      </c>
      <c r="AN107" s="5">
        <v>0</v>
      </c>
      <c r="AO107" t="s">
        <v>0</v>
      </c>
      <c r="AP107" t="s">
        <v>0</v>
      </c>
      <c r="AQ107" t="s">
        <v>0</v>
      </c>
      <c r="AR107" s="6">
        <v>1</v>
      </c>
      <c r="AS107" s="3">
        <v>2</v>
      </c>
      <c r="AT107" t="s">
        <v>13</v>
      </c>
      <c r="AU107" s="9">
        <f t="shared" si="1"/>
        <v>45699</v>
      </c>
    </row>
    <row r="108" spans="1:47" x14ac:dyDescent="0.2">
      <c r="A108" t="s">
        <v>84</v>
      </c>
      <c r="B108" t="s">
        <v>320</v>
      </c>
      <c r="C108" s="2">
        <v>45579</v>
      </c>
      <c r="D108" t="s">
        <v>59</v>
      </c>
      <c r="E108" t="s">
        <v>24</v>
      </c>
      <c r="F108" t="s">
        <v>0</v>
      </c>
      <c r="G108" t="s">
        <v>0</v>
      </c>
      <c r="H108" t="s">
        <v>60</v>
      </c>
      <c r="I108" t="s">
        <v>61</v>
      </c>
      <c r="J108" t="s">
        <v>284</v>
      </c>
      <c r="K108" s="3">
        <v>0</v>
      </c>
      <c r="L108" t="s">
        <v>27</v>
      </c>
      <c r="M108" t="s">
        <v>27</v>
      </c>
      <c r="N108" t="s">
        <v>27</v>
      </c>
      <c r="O108" t="s">
        <v>118</v>
      </c>
      <c r="P108" t="s">
        <v>119</v>
      </c>
      <c r="Q108" s="3">
        <v>3</v>
      </c>
      <c r="R108" s="4">
        <v>43.65</v>
      </c>
      <c r="S108" t="s">
        <v>8</v>
      </c>
      <c r="T108" s="2">
        <v>45654</v>
      </c>
      <c r="U108" s="2">
        <v>45654</v>
      </c>
      <c r="V108" t="s">
        <v>321</v>
      </c>
      <c r="W108" t="s">
        <v>322</v>
      </c>
      <c r="X108" t="s">
        <v>89</v>
      </c>
      <c r="Y108" t="s">
        <v>33</v>
      </c>
      <c r="Z108" t="s">
        <v>34</v>
      </c>
      <c r="AA108" t="s">
        <v>90</v>
      </c>
      <c r="AB108" s="2">
        <v>45613</v>
      </c>
      <c r="AC108" s="2">
        <v>45643</v>
      </c>
      <c r="AD108" t="s">
        <v>0</v>
      </c>
      <c r="AE108" s="2"/>
      <c r="AF108" s="2"/>
      <c r="AG108" t="s">
        <v>56</v>
      </c>
      <c r="AH108" t="s">
        <v>91</v>
      </c>
      <c r="AI108" s="2">
        <v>45595</v>
      </c>
      <c r="AJ108" s="4">
        <v>43.65</v>
      </c>
      <c r="AK108" s="2">
        <v>45653</v>
      </c>
      <c r="AL108" s="2"/>
      <c r="AM108" t="s">
        <v>12</v>
      </c>
      <c r="AN108" s="5">
        <v>0.54317199999999999</v>
      </c>
      <c r="AO108" t="s">
        <v>38</v>
      </c>
      <c r="AP108" t="s">
        <v>121</v>
      </c>
      <c r="AQ108" t="s">
        <v>74</v>
      </c>
      <c r="AR108" s="6">
        <v>1</v>
      </c>
      <c r="AS108" s="3">
        <v>3</v>
      </c>
      <c r="AT108" t="s">
        <v>13</v>
      </c>
      <c r="AU108" s="9">
        <f t="shared" si="1"/>
        <v>45653</v>
      </c>
    </row>
    <row r="109" spans="1:47" x14ac:dyDescent="0.2">
      <c r="A109" t="s">
        <v>84</v>
      </c>
      <c r="B109" t="s">
        <v>320</v>
      </c>
      <c r="C109" s="2">
        <v>45579</v>
      </c>
      <c r="D109" t="s">
        <v>59</v>
      </c>
      <c r="E109" t="s">
        <v>24</v>
      </c>
      <c r="F109" t="s">
        <v>0</v>
      </c>
      <c r="G109" t="s">
        <v>0</v>
      </c>
      <c r="H109" t="s">
        <v>60</v>
      </c>
      <c r="I109" t="s">
        <v>61</v>
      </c>
      <c r="J109" t="s">
        <v>323</v>
      </c>
      <c r="K109" s="3">
        <v>0</v>
      </c>
      <c r="L109" t="s">
        <v>27</v>
      </c>
      <c r="M109" t="s">
        <v>27</v>
      </c>
      <c r="N109" t="s">
        <v>27</v>
      </c>
      <c r="O109" t="s">
        <v>324</v>
      </c>
      <c r="P109" t="s">
        <v>325</v>
      </c>
      <c r="Q109" s="3">
        <v>7</v>
      </c>
      <c r="R109" s="4">
        <v>56.42</v>
      </c>
      <c r="S109" t="s">
        <v>8</v>
      </c>
      <c r="T109" s="2">
        <v>45659</v>
      </c>
      <c r="U109" s="2">
        <v>45659</v>
      </c>
      <c r="V109" t="s">
        <v>321</v>
      </c>
      <c r="W109" t="s">
        <v>322</v>
      </c>
      <c r="X109" t="s">
        <v>89</v>
      </c>
      <c r="Y109" t="s">
        <v>33</v>
      </c>
      <c r="Z109" t="s">
        <v>34</v>
      </c>
      <c r="AA109" t="s">
        <v>90</v>
      </c>
      <c r="AB109" s="2">
        <v>45613</v>
      </c>
      <c r="AC109" s="2">
        <v>45643</v>
      </c>
      <c r="AD109" t="s">
        <v>0</v>
      </c>
      <c r="AE109" s="2"/>
      <c r="AF109" s="2"/>
      <c r="AG109" t="s">
        <v>120</v>
      </c>
      <c r="AH109" t="s">
        <v>91</v>
      </c>
      <c r="AI109" s="2">
        <v>45595</v>
      </c>
      <c r="AJ109" s="4">
        <v>56.42</v>
      </c>
      <c r="AK109" s="2">
        <v>45653</v>
      </c>
      <c r="AL109" s="2"/>
      <c r="AM109" t="s">
        <v>12</v>
      </c>
      <c r="AN109" s="5">
        <v>0.70207900000000001</v>
      </c>
      <c r="AO109" t="s">
        <v>38</v>
      </c>
      <c r="AP109" t="s">
        <v>128</v>
      </c>
      <c r="AQ109" t="s">
        <v>74</v>
      </c>
      <c r="AR109" s="6">
        <v>1</v>
      </c>
      <c r="AS109" s="3">
        <v>7</v>
      </c>
      <c r="AT109" t="s">
        <v>13</v>
      </c>
      <c r="AU109" s="9">
        <f t="shared" si="1"/>
        <v>45653</v>
      </c>
    </row>
    <row r="110" spans="1:47" x14ac:dyDescent="0.2">
      <c r="A110" t="s">
        <v>84</v>
      </c>
      <c r="B110" t="s">
        <v>320</v>
      </c>
      <c r="C110" s="2">
        <v>45579</v>
      </c>
      <c r="D110" t="s">
        <v>59</v>
      </c>
      <c r="E110" t="s">
        <v>24</v>
      </c>
      <c r="F110" t="s">
        <v>0</v>
      </c>
      <c r="G110" t="s">
        <v>0</v>
      </c>
      <c r="H110" t="s">
        <v>60</v>
      </c>
      <c r="I110" t="s">
        <v>61</v>
      </c>
      <c r="J110" t="s">
        <v>179</v>
      </c>
      <c r="K110" s="3">
        <v>0</v>
      </c>
      <c r="L110" t="s">
        <v>27</v>
      </c>
      <c r="M110" t="s">
        <v>27</v>
      </c>
      <c r="N110" t="s">
        <v>27</v>
      </c>
      <c r="O110" t="s">
        <v>292</v>
      </c>
      <c r="P110" t="s">
        <v>293</v>
      </c>
      <c r="Q110" s="3">
        <v>4</v>
      </c>
      <c r="R110" s="4">
        <v>4.28</v>
      </c>
      <c r="S110" t="s">
        <v>8</v>
      </c>
      <c r="T110" s="2">
        <v>45654</v>
      </c>
      <c r="U110" s="2">
        <v>45654</v>
      </c>
      <c r="V110" t="s">
        <v>321</v>
      </c>
      <c r="W110" t="s">
        <v>322</v>
      </c>
      <c r="X110" t="s">
        <v>89</v>
      </c>
      <c r="Y110" t="s">
        <v>33</v>
      </c>
      <c r="Z110" t="s">
        <v>34</v>
      </c>
      <c r="AA110" t="s">
        <v>90</v>
      </c>
      <c r="AB110" s="2">
        <v>45613</v>
      </c>
      <c r="AC110" s="2">
        <v>45643</v>
      </c>
      <c r="AD110" t="s">
        <v>0</v>
      </c>
      <c r="AE110" s="2"/>
      <c r="AF110" s="2"/>
      <c r="AG110" t="s">
        <v>44</v>
      </c>
      <c r="AH110" t="s">
        <v>91</v>
      </c>
      <c r="AI110" s="2">
        <v>45595</v>
      </c>
      <c r="AJ110" s="4">
        <v>4.28</v>
      </c>
      <c r="AK110" s="2">
        <v>45653</v>
      </c>
      <c r="AL110" s="2"/>
      <c r="AM110" t="s">
        <v>12</v>
      </c>
      <c r="AN110" s="5">
        <v>5.3259000000000001E-2</v>
      </c>
      <c r="AO110" t="s">
        <v>38</v>
      </c>
      <c r="AP110" t="s">
        <v>39</v>
      </c>
      <c r="AQ110" t="s">
        <v>74</v>
      </c>
      <c r="AR110" s="6">
        <v>1</v>
      </c>
      <c r="AS110" s="3">
        <v>4</v>
      </c>
      <c r="AT110" t="s">
        <v>13</v>
      </c>
      <c r="AU110" s="9">
        <f t="shared" si="1"/>
        <v>45653</v>
      </c>
    </row>
    <row r="111" spans="1:47" x14ac:dyDescent="0.2">
      <c r="A111" t="s">
        <v>84</v>
      </c>
      <c r="B111" t="s">
        <v>320</v>
      </c>
      <c r="C111" s="2">
        <v>45579</v>
      </c>
      <c r="D111" t="s">
        <v>59</v>
      </c>
      <c r="E111" t="s">
        <v>24</v>
      </c>
      <c r="F111" t="s">
        <v>0</v>
      </c>
      <c r="G111" t="s">
        <v>0</v>
      </c>
      <c r="H111" t="s">
        <v>60</v>
      </c>
      <c r="I111" t="s">
        <v>61</v>
      </c>
      <c r="J111" t="s">
        <v>326</v>
      </c>
      <c r="K111" s="3">
        <v>0</v>
      </c>
      <c r="L111" t="s">
        <v>27</v>
      </c>
      <c r="M111" t="s">
        <v>27</v>
      </c>
      <c r="N111" t="s">
        <v>27</v>
      </c>
      <c r="O111" t="s">
        <v>176</v>
      </c>
      <c r="P111" t="s">
        <v>177</v>
      </c>
      <c r="Q111" s="3">
        <v>2</v>
      </c>
      <c r="R111" s="4">
        <v>6.74</v>
      </c>
      <c r="S111" t="s">
        <v>8</v>
      </c>
      <c r="T111" s="2">
        <v>45654</v>
      </c>
      <c r="U111" s="2">
        <v>45654</v>
      </c>
      <c r="V111" t="s">
        <v>321</v>
      </c>
      <c r="W111" t="s">
        <v>322</v>
      </c>
      <c r="X111" t="s">
        <v>89</v>
      </c>
      <c r="Y111" t="s">
        <v>33</v>
      </c>
      <c r="Z111" t="s">
        <v>34</v>
      </c>
      <c r="AA111" t="s">
        <v>90</v>
      </c>
      <c r="AB111" s="2">
        <v>45613</v>
      </c>
      <c r="AC111" s="2">
        <v>45643</v>
      </c>
      <c r="AD111" t="s">
        <v>0</v>
      </c>
      <c r="AE111" s="2"/>
      <c r="AF111" s="2"/>
      <c r="AG111" t="s">
        <v>67</v>
      </c>
      <c r="AH111" t="s">
        <v>91</v>
      </c>
      <c r="AI111" s="2">
        <v>45595</v>
      </c>
      <c r="AJ111" s="4">
        <v>6.74</v>
      </c>
      <c r="AK111" s="2">
        <v>45653</v>
      </c>
      <c r="AL111" s="2"/>
      <c r="AM111" t="s">
        <v>12</v>
      </c>
      <c r="AN111" s="5">
        <v>8.3871000000000001E-2</v>
      </c>
      <c r="AO111" t="s">
        <v>38</v>
      </c>
      <c r="AP111" t="s">
        <v>39</v>
      </c>
      <c r="AQ111" t="s">
        <v>74</v>
      </c>
      <c r="AR111" s="6">
        <v>1</v>
      </c>
      <c r="AS111" s="3">
        <v>2</v>
      </c>
      <c r="AT111" t="s">
        <v>13</v>
      </c>
      <c r="AU111" s="9">
        <f t="shared" si="1"/>
        <v>45653</v>
      </c>
    </row>
    <row r="112" spans="1:47" x14ac:dyDescent="0.2">
      <c r="A112" t="s">
        <v>84</v>
      </c>
      <c r="B112" t="s">
        <v>320</v>
      </c>
      <c r="C112" s="2">
        <v>45579</v>
      </c>
      <c r="D112" t="s">
        <v>59</v>
      </c>
      <c r="E112" t="s">
        <v>24</v>
      </c>
      <c r="F112" t="s">
        <v>0</v>
      </c>
      <c r="G112" t="s">
        <v>0</v>
      </c>
      <c r="H112" t="s">
        <v>60</v>
      </c>
      <c r="I112" t="s">
        <v>61</v>
      </c>
      <c r="J112" t="s">
        <v>86</v>
      </c>
      <c r="K112" s="3">
        <v>0</v>
      </c>
      <c r="L112" t="s">
        <v>27</v>
      </c>
      <c r="M112" t="s">
        <v>27</v>
      </c>
      <c r="N112" t="s">
        <v>27</v>
      </c>
      <c r="O112" t="s">
        <v>296</v>
      </c>
      <c r="P112" t="s">
        <v>297</v>
      </c>
      <c r="Q112" s="3">
        <v>8</v>
      </c>
      <c r="R112" s="4">
        <v>4.32</v>
      </c>
      <c r="S112" t="s">
        <v>8</v>
      </c>
      <c r="T112" s="2">
        <v>45654</v>
      </c>
      <c r="U112" s="2">
        <v>45654</v>
      </c>
      <c r="V112" t="s">
        <v>321</v>
      </c>
      <c r="W112" t="s">
        <v>322</v>
      </c>
      <c r="X112" t="s">
        <v>89</v>
      </c>
      <c r="Y112" t="s">
        <v>33</v>
      </c>
      <c r="Z112" t="s">
        <v>34</v>
      </c>
      <c r="AA112" t="s">
        <v>90</v>
      </c>
      <c r="AB112" s="2">
        <v>45613</v>
      </c>
      <c r="AC112" s="2">
        <v>45643</v>
      </c>
      <c r="AD112" t="s">
        <v>0</v>
      </c>
      <c r="AE112" s="2"/>
      <c r="AF112" s="2"/>
      <c r="AG112" t="s">
        <v>82</v>
      </c>
      <c r="AH112" t="s">
        <v>91</v>
      </c>
      <c r="AI112" s="2">
        <v>45595</v>
      </c>
      <c r="AJ112" s="4">
        <v>4.32</v>
      </c>
      <c r="AK112" s="2">
        <v>45653</v>
      </c>
      <c r="AL112" s="2"/>
      <c r="AM112" t="s">
        <v>12</v>
      </c>
      <c r="AN112" s="5">
        <v>5.3756999999999999E-2</v>
      </c>
      <c r="AO112" t="s">
        <v>38</v>
      </c>
      <c r="AP112" t="s">
        <v>128</v>
      </c>
      <c r="AQ112" t="s">
        <v>74</v>
      </c>
      <c r="AR112" s="6">
        <v>1</v>
      </c>
      <c r="AS112" s="3">
        <v>8</v>
      </c>
      <c r="AT112" t="s">
        <v>13</v>
      </c>
      <c r="AU112" s="9">
        <f t="shared" si="1"/>
        <v>45653</v>
      </c>
    </row>
    <row r="113" spans="1:47" x14ac:dyDescent="0.2">
      <c r="A113" t="s">
        <v>84</v>
      </c>
      <c r="B113" t="s">
        <v>320</v>
      </c>
      <c r="C113" s="2">
        <v>45579</v>
      </c>
      <c r="D113" t="s">
        <v>59</v>
      </c>
      <c r="E113" t="s">
        <v>24</v>
      </c>
      <c r="F113" t="s">
        <v>0</v>
      </c>
      <c r="G113" t="s">
        <v>0</v>
      </c>
      <c r="H113" t="s">
        <v>60</v>
      </c>
      <c r="I113" t="s">
        <v>61</v>
      </c>
      <c r="J113" t="s">
        <v>327</v>
      </c>
      <c r="K113" s="3">
        <v>0</v>
      </c>
      <c r="L113" t="s">
        <v>27</v>
      </c>
      <c r="M113" t="s">
        <v>27</v>
      </c>
      <c r="N113" t="s">
        <v>27</v>
      </c>
      <c r="O113" t="s">
        <v>299</v>
      </c>
      <c r="P113" t="s">
        <v>300</v>
      </c>
      <c r="Q113" s="3">
        <v>12</v>
      </c>
      <c r="R113" s="4">
        <v>3.72</v>
      </c>
      <c r="S113" t="s">
        <v>8</v>
      </c>
      <c r="T113" s="2">
        <v>45654</v>
      </c>
      <c r="U113" s="2">
        <v>45654</v>
      </c>
      <c r="V113" t="s">
        <v>321</v>
      </c>
      <c r="W113" t="s">
        <v>322</v>
      </c>
      <c r="X113" t="s">
        <v>89</v>
      </c>
      <c r="Y113" t="s">
        <v>33</v>
      </c>
      <c r="Z113" t="s">
        <v>34</v>
      </c>
      <c r="AA113" t="s">
        <v>90</v>
      </c>
      <c r="AB113" s="2">
        <v>45613</v>
      </c>
      <c r="AC113" s="2">
        <v>45643</v>
      </c>
      <c r="AD113" t="s">
        <v>0</v>
      </c>
      <c r="AE113" s="2"/>
      <c r="AF113" s="2"/>
      <c r="AG113" t="s">
        <v>158</v>
      </c>
      <c r="AH113" t="s">
        <v>91</v>
      </c>
      <c r="AI113" s="2">
        <v>45595</v>
      </c>
      <c r="AJ113" s="4">
        <v>3.72</v>
      </c>
      <c r="AK113" s="2">
        <v>45653</v>
      </c>
      <c r="AL113" s="2"/>
      <c r="AM113" t="s">
        <v>12</v>
      </c>
      <c r="AN113" s="5">
        <v>4.6290999999999999E-2</v>
      </c>
      <c r="AO113" t="s">
        <v>38</v>
      </c>
      <c r="AP113" t="s">
        <v>128</v>
      </c>
      <c r="AQ113" t="s">
        <v>74</v>
      </c>
      <c r="AR113" s="6">
        <v>1</v>
      </c>
      <c r="AS113" s="3">
        <v>12</v>
      </c>
      <c r="AT113" t="s">
        <v>13</v>
      </c>
      <c r="AU113" s="9">
        <f t="shared" si="1"/>
        <v>45653</v>
      </c>
    </row>
    <row r="114" spans="1:47" x14ac:dyDescent="0.2">
      <c r="A114" t="s">
        <v>84</v>
      </c>
      <c r="B114" t="s">
        <v>320</v>
      </c>
      <c r="C114" s="2">
        <v>45579</v>
      </c>
      <c r="D114" t="s">
        <v>59</v>
      </c>
      <c r="E114" t="s">
        <v>24</v>
      </c>
      <c r="F114" t="s">
        <v>0</v>
      </c>
      <c r="G114" t="s">
        <v>0</v>
      </c>
      <c r="H114" t="s">
        <v>60</v>
      </c>
      <c r="I114" t="s">
        <v>61</v>
      </c>
      <c r="J114" t="s">
        <v>214</v>
      </c>
      <c r="K114" s="3">
        <v>0</v>
      </c>
      <c r="L114" t="s">
        <v>27</v>
      </c>
      <c r="M114" t="s">
        <v>27</v>
      </c>
      <c r="N114" t="s">
        <v>27</v>
      </c>
      <c r="O114" t="s">
        <v>215</v>
      </c>
      <c r="P114" t="s">
        <v>216</v>
      </c>
      <c r="Q114" s="3">
        <v>10</v>
      </c>
      <c r="R114" s="4">
        <v>3.8</v>
      </c>
      <c r="S114" t="s">
        <v>8</v>
      </c>
      <c r="T114" s="2">
        <v>45654</v>
      </c>
      <c r="U114" s="2">
        <v>45654</v>
      </c>
      <c r="V114" t="s">
        <v>321</v>
      </c>
      <c r="W114" t="s">
        <v>322</v>
      </c>
      <c r="X114" t="s">
        <v>89</v>
      </c>
      <c r="Y114" t="s">
        <v>33</v>
      </c>
      <c r="Z114" t="s">
        <v>34</v>
      </c>
      <c r="AA114" t="s">
        <v>90</v>
      </c>
      <c r="AB114" s="2">
        <v>45613</v>
      </c>
      <c r="AC114" s="2">
        <v>45643</v>
      </c>
      <c r="AD114" t="s">
        <v>0</v>
      </c>
      <c r="AE114" s="2"/>
      <c r="AF114" s="2"/>
      <c r="AG114" t="s">
        <v>127</v>
      </c>
      <c r="AH114" t="s">
        <v>91</v>
      </c>
      <c r="AI114" s="2">
        <v>45595</v>
      </c>
      <c r="AJ114" s="4">
        <v>3.8</v>
      </c>
      <c r="AK114" s="2">
        <v>45653</v>
      </c>
      <c r="AL114" s="2"/>
      <c r="AM114" t="s">
        <v>12</v>
      </c>
      <c r="AN114" s="5">
        <v>4.7286000000000002E-2</v>
      </c>
      <c r="AO114" t="s">
        <v>38</v>
      </c>
      <c r="AP114" t="s">
        <v>128</v>
      </c>
      <c r="AQ114" t="s">
        <v>74</v>
      </c>
      <c r="AR114" s="6">
        <v>1</v>
      </c>
      <c r="AS114" s="3">
        <v>10</v>
      </c>
      <c r="AT114" t="s">
        <v>13</v>
      </c>
      <c r="AU114" s="9">
        <f t="shared" si="1"/>
        <v>45653</v>
      </c>
    </row>
    <row r="115" spans="1:47" x14ac:dyDescent="0.2">
      <c r="A115" t="s">
        <v>0</v>
      </c>
      <c r="B115" t="s">
        <v>320</v>
      </c>
      <c r="C115" s="2">
        <v>45579</v>
      </c>
      <c r="D115" t="s">
        <v>0</v>
      </c>
      <c r="E115" t="s">
        <v>24</v>
      </c>
      <c r="F115" t="s">
        <v>0</v>
      </c>
      <c r="G115" t="s">
        <v>0</v>
      </c>
      <c r="H115" t="s">
        <v>60</v>
      </c>
      <c r="I115" t="s">
        <v>61</v>
      </c>
      <c r="J115" t="s">
        <v>328</v>
      </c>
      <c r="K115" s="3">
        <v>3</v>
      </c>
      <c r="L115" t="s">
        <v>0</v>
      </c>
      <c r="M115" t="s">
        <v>0</v>
      </c>
      <c r="N115" t="s">
        <v>0</v>
      </c>
      <c r="O115" t="s">
        <v>324</v>
      </c>
      <c r="P115" t="s">
        <v>325</v>
      </c>
      <c r="Q115" s="3">
        <v>3</v>
      </c>
      <c r="R115" s="4">
        <v>24.18</v>
      </c>
      <c r="S115" t="s">
        <v>8</v>
      </c>
      <c r="T115" s="2">
        <v>45659</v>
      </c>
      <c r="U115" s="2">
        <v>45659</v>
      </c>
      <c r="V115" t="s">
        <v>321</v>
      </c>
      <c r="W115" t="s">
        <v>322</v>
      </c>
      <c r="X115" t="s">
        <v>0</v>
      </c>
      <c r="Y115" t="s">
        <v>0</v>
      </c>
      <c r="Z115" t="s">
        <v>0</v>
      </c>
      <c r="AA115" t="s">
        <v>0</v>
      </c>
      <c r="AB115" s="2"/>
      <c r="AC115" s="2"/>
      <c r="AD115" t="s">
        <v>0</v>
      </c>
      <c r="AE115" s="2"/>
      <c r="AF115" s="2"/>
      <c r="AG115" t="s">
        <v>11</v>
      </c>
      <c r="AH115" t="s">
        <v>0</v>
      </c>
      <c r="AI115" s="2"/>
      <c r="AJ115" s="4">
        <v>0</v>
      </c>
      <c r="AK115" s="2"/>
      <c r="AL115" s="2"/>
      <c r="AM115" t="s">
        <v>12</v>
      </c>
      <c r="AN115" s="5">
        <v>0</v>
      </c>
      <c r="AO115" t="s">
        <v>0</v>
      </c>
      <c r="AP115" t="s">
        <v>0</v>
      </c>
      <c r="AQ115" t="s">
        <v>0</v>
      </c>
      <c r="AR115" s="6">
        <v>1</v>
      </c>
      <c r="AS115" s="3">
        <v>3</v>
      </c>
      <c r="AT115" t="s">
        <v>13</v>
      </c>
      <c r="AU115" s="9">
        <f t="shared" si="1"/>
        <v>45659</v>
      </c>
    </row>
    <row r="116" spans="1:47" x14ac:dyDescent="0.2">
      <c r="A116" t="s">
        <v>0</v>
      </c>
      <c r="B116" t="s">
        <v>320</v>
      </c>
      <c r="C116" s="2">
        <v>45579</v>
      </c>
      <c r="D116" t="s">
        <v>0</v>
      </c>
      <c r="E116" t="s">
        <v>24</v>
      </c>
      <c r="F116" t="s">
        <v>0</v>
      </c>
      <c r="G116" t="s">
        <v>0</v>
      </c>
      <c r="H116" t="s">
        <v>60</v>
      </c>
      <c r="I116" t="s">
        <v>61</v>
      </c>
      <c r="J116" t="s">
        <v>191</v>
      </c>
      <c r="K116" s="3">
        <v>12</v>
      </c>
      <c r="L116" t="s">
        <v>0</v>
      </c>
      <c r="M116" t="s">
        <v>0</v>
      </c>
      <c r="N116" t="s">
        <v>0</v>
      </c>
      <c r="O116" t="s">
        <v>296</v>
      </c>
      <c r="P116" t="s">
        <v>297</v>
      </c>
      <c r="Q116" s="3">
        <v>12</v>
      </c>
      <c r="R116" s="4">
        <v>6.48</v>
      </c>
      <c r="S116" t="s">
        <v>8</v>
      </c>
      <c r="T116" s="2">
        <v>45677</v>
      </c>
      <c r="U116" s="2">
        <v>45677</v>
      </c>
      <c r="V116" t="s">
        <v>321</v>
      </c>
      <c r="W116" t="s">
        <v>322</v>
      </c>
      <c r="X116" t="s">
        <v>0</v>
      </c>
      <c r="Y116" t="s">
        <v>0</v>
      </c>
      <c r="Z116" t="s">
        <v>0</v>
      </c>
      <c r="AA116" t="s">
        <v>0</v>
      </c>
      <c r="AB116" s="2"/>
      <c r="AC116" s="2"/>
      <c r="AD116" t="s">
        <v>0</v>
      </c>
      <c r="AE116" s="2"/>
      <c r="AF116" s="2"/>
      <c r="AG116" t="s">
        <v>11</v>
      </c>
      <c r="AH116" t="s">
        <v>0</v>
      </c>
      <c r="AI116" s="2"/>
      <c r="AJ116" s="4">
        <v>0</v>
      </c>
      <c r="AK116" s="2"/>
      <c r="AL116" s="2"/>
      <c r="AM116" t="s">
        <v>12</v>
      </c>
      <c r="AN116" s="5">
        <v>0</v>
      </c>
      <c r="AO116" t="s">
        <v>0</v>
      </c>
      <c r="AP116" t="s">
        <v>0</v>
      </c>
      <c r="AQ116" t="s">
        <v>0</v>
      </c>
      <c r="AR116" s="6">
        <v>1</v>
      </c>
      <c r="AS116" s="3">
        <v>12</v>
      </c>
      <c r="AT116" t="s">
        <v>13</v>
      </c>
      <c r="AU116" s="9">
        <f t="shared" si="1"/>
        <v>45677</v>
      </c>
    </row>
    <row r="117" spans="1:47" x14ac:dyDescent="0.2">
      <c r="A117" t="s">
        <v>84</v>
      </c>
      <c r="B117" t="s">
        <v>329</v>
      </c>
      <c r="C117" s="2">
        <v>45579</v>
      </c>
      <c r="D117" t="s">
        <v>59</v>
      </c>
      <c r="E117" t="s">
        <v>24</v>
      </c>
      <c r="F117" t="s">
        <v>0</v>
      </c>
      <c r="G117" t="s">
        <v>0</v>
      </c>
      <c r="H117" t="s">
        <v>60</v>
      </c>
      <c r="I117" t="s">
        <v>61</v>
      </c>
      <c r="J117" t="s">
        <v>196</v>
      </c>
      <c r="K117" s="3">
        <v>0</v>
      </c>
      <c r="L117" t="s">
        <v>27</v>
      </c>
      <c r="M117" t="s">
        <v>27</v>
      </c>
      <c r="N117" t="s">
        <v>27</v>
      </c>
      <c r="O117" t="s">
        <v>200</v>
      </c>
      <c r="P117" t="s">
        <v>201</v>
      </c>
      <c r="Q117" s="3">
        <v>4</v>
      </c>
      <c r="R117" s="4">
        <v>1.52</v>
      </c>
      <c r="S117" t="s">
        <v>8</v>
      </c>
      <c r="T117" s="2">
        <v>45654</v>
      </c>
      <c r="U117" s="2">
        <v>45654</v>
      </c>
      <c r="V117" t="s">
        <v>330</v>
      </c>
      <c r="W117" t="s">
        <v>331</v>
      </c>
      <c r="X117" t="s">
        <v>89</v>
      </c>
      <c r="Y117" t="s">
        <v>33</v>
      </c>
      <c r="Z117" t="s">
        <v>34</v>
      </c>
      <c r="AA117" t="s">
        <v>90</v>
      </c>
      <c r="AB117" s="2">
        <v>45613</v>
      </c>
      <c r="AC117" s="2">
        <v>45643</v>
      </c>
      <c r="AD117" t="s">
        <v>0</v>
      </c>
      <c r="AE117" s="2"/>
      <c r="AF117" s="2"/>
      <c r="AG117" t="s">
        <v>44</v>
      </c>
      <c r="AH117" t="s">
        <v>91</v>
      </c>
      <c r="AI117" s="2">
        <v>45595</v>
      </c>
      <c r="AJ117" s="4">
        <v>1.52</v>
      </c>
      <c r="AK117" s="2">
        <v>45653</v>
      </c>
      <c r="AL117" s="2"/>
      <c r="AM117" t="s">
        <v>12</v>
      </c>
      <c r="AN117" s="5">
        <v>1.8915000000000001E-2</v>
      </c>
      <c r="AO117" t="s">
        <v>38</v>
      </c>
      <c r="AP117" t="s">
        <v>128</v>
      </c>
      <c r="AQ117" t="s">
        <v>74</v>
      </c>
      <c r="AR117" s="6">
        <v>1</v>
      </c>
      <c r="AS117" s="3">
        <v>4</v>
      </c>
      <c r="AT117" t="s">
        <v>13</v>
      </c>
      <c r="AU117" s="9">
        <f t="shared" si="1"/>
        <v>45653</v>
      </c>
    </row>
    <row r="118" spans="1:47" x14ac:dyDescent="0.2">
      <c r="A118" t="s">
        <v>84</v>
      </c>
      <c r="B118" t="s">
        <v>329</v>
      </c>
      <c r="C118" s="2">
        <v>45579</v>
      </c>
      <c r="D118" t="s">
        <v>59</v>
      </c>
      <c r="E118" t="s">
        <v>24</v>
      </c>
      <c r="F118" t="s">
        <v>0</v>
      </c>
      <c r="G118" t="s">
        <v>0</v>
      </c>
      <c r="H118" t="s">
        <v>60</v>
      </c>
      <c r="I118" t="s">
        <v>61</v>
      </c>
      <c r="J118" t="s">
        <v>332</v>
      </c>
      <c r="K118" s="3">
        <v>0</v>
      </c>
      <c r="L118" t="s">
        <v>27</v>
      </c>
      <c r="M118" t="s">
        <v>27</v>
      </c>
      <c r="N118" t="s">
        <v>27</v>
      </c>
      <c r="O118" t="s">
        <v>131</v>
      </c>
      <c r="P118" t="s">
        <v>132</v>
      </c>
      <c r="Q118" s="3">
        <v>5</v>
      </c>
      <c r="R118" s="4">
        <v>23</v>
      </c>
      <c r="S118" t="s">
        <v>8</v>
      </c>
      <c r="T118" s="2">
        <v>45654</v>
      </c>
      <c r="U118" s="2">
        <v>45654</v>
      </c>
      <c r="V118" t="s">
        <v>330</v>
      </c>
      <c r="W118" t="s">
        <v>331</v>
      </c>
      <c r="X118" t="s">
        <v>89</v>
      </c>
      <c r="Y118" t="s">
        <v>33</v>
      </c>
      <c r="Z118" t="s">
        <v>34</v>
      </c>
      <c r="AA118" t="s">
        <v>90</v>
      </c>
      <c r="AB118" s="2">
        <v>45613</v>
      </c>
      <c r="AC118" s="2">
        <v>45643</v>
      </c>
      <c r="AD118" t="s">
        <v>0</v>
      </c>
      <c r="AE118" s="2"/>
      <c r="AF118" s="2"/>
      <c r="AG118" t="s">
        <v>141</v>
      </c>
      <c r="AH118" t="s">
        <v>91</v>
      </c>
      <c r="AI118" s="2">
        <v>45595</v>
      </c>
      <c r="AJ118" s="4">
        <v>23</v>
      </c>
      <c r="AK118" s="2">
        <v>45653</v>
      </c>
      <c r="AL118" s="2"/>
      <c r="AM118" t="s">
        <v>12</v>
      </c>
      <c r="AN118" s="5">
        <v>0.28620699999999999</v>
      </c>
      <c r="AO118" t="s">
        <v>38</v>
      </c>
      <c r="AP118" t="s">
        <v>39</v>
      </c>
      <c r="AQ118" t="s">
        <v>74</v>
      </c>
      <c r="AR118" s="6">
        <v>1</v>
      </c>
      <c r="AS118" s="3">
        <v>5</v>
      </c>
      <c r="AT118" t="s">
        <v>13</v>
      </c>
      <c r="AU118" s="9">
        <f t="shared" si="1"/>
        <v>45653</v>
      </c>
    </row>
    <row r="119" spans="1:47" x14ac:dyDescent="0.2">
      <c r="A119" t="s">
        <v>84</v>
      </c>
      <c r="B119" t="s">
        <v>333</v>
      </c>
      <c r="C119" s="2">
        <v>45579</v>
      </c>
      <c r="D119" t="s">
        <v>59</v>
      </c>
      <c r="E119" t="s">
        <v>24</v>
      </c>
      <c r="F119" t="s">
        <v>0</v>
      </c>
      <c r="G119" t="s">
        <v>0</v>
      </c>
      <c r="H119" t="s">
        <v>60</v>
      </c>
      <c r="I119" t="s">
        <v>61</v>
      </c>
      <c r="J119" t="s">
        <v>334</v>
      </c>
      <c r="K119" s="3">
        <v>0</v>
      </c>
      <c r="L119" t="s">
        <v>27</v>
      </c>
      <c r="M119" t="s">
        <v>27</v>
      </c>
      <c r="N119" t="s">
        <v>27</v>
      </c>
      <c r="O119" t="s">
        <v>139</v>
      </c>
      <c r="P119" t="s">
        <v>140</v>
      </c>
      <c r="Q119" s="3">
        <v>11</v>
      </c>
      <c r="R119" s="4">
        <v>45.98</v>
      </c>
      <c r="S119" t="s">
        <v>8</v>
      </c>
      <c r="T119" s="2">
        <v>45654</v>
      </c>
      <c r="U119" s="2">
        <v>45654</v>
      </c>
      <c r="V119" t="s">
        <v>335</v>
      </c>
      <c r="W119" t="s">
        <v>336</v>
      </c>
      <c r="X119" t="s">
        <v>89</v>
      </c>
      <c r="Y119" t="s">
        <v>33</v>
      </c>
      <c r="Z119" t="s">
        <v>34</v>
      </c>
      <c r="AA119" t="s">
        <v>90</v>
      </c>
      <c r="AB119" s="2">
        <v>45613</v>
      </c>
      <c r="AC119" s="2">
        <v>45643</v>
      </c>
      <c r="AD119" t="s">
        <v>0</v>
      </c>
      <c r="AE119" s="2"/>
      <c r="AF119" s="2"/>
      <c r="AG119" t="s">
        <v>217</v>
      </c>
      <c r="AH119" t="s">
        <v>91</v>
      </c>
      <c r="AI119" s="2">
        <v>45595</v>
      </c>
      <c r="AJ119" s="4">
        <v>45.98</v>
      </c>
      <c r="AK119" s="2">
        <v>45653</v>
      </c>
      <c r="AL119" s="2"/>
      <c r="AM119" t="s">
        <v>12</v>
      </c>
      <c r="AN119" s="5">
        <v>0.57216599999999995</v>
      </c>
      <c r="AO119" t="s">
        <v>38</v>
      </c>
      <c r="AP119" t="s">
        <v>142</v>
      </c>
      <c r="AQ119" t="s">
        <v>74</v>
      </c>
      <c r="AR119" s="6">
        <v>1</v>
      </c>
      <c r="AS119" s="3">
        <v>11</v>
      </c>
      <c r="AT119" t="s">
        <v>13</v>
      </c>
      <c r="AU119" s="9">
        <f t="shared" si="1"/>
        <v>45653</v>
      </c>
    </row>
    <row r="120" spans="1:47" x14ac:dyDescent="0.2">
      <c r="A120" t="s">
        <v>84</v>
      </c>
      <c r="B120" t="s">
        <v>333</v>
      </c>
      <c r="C120" s="2">
        <v>45579</v>
      </c>
      <c r="D120" t="s">
        <v>59</v>
      </c>
      <c r="E120" t="s">
        <v>24</v>
      </c>
      <c r="F120" t="s">
        <v>0</v>
      </c>
      <c r="G120" t="s">
        <v>0</v>
      </c>
      <c r="H120" t="s">
        <v>60</v>
      </c>
      <c r="I120" t="s">
        <v>61</v>
      </c>
      <c r="J120" t="s">
        <v>337</v>
      </c>
      <c r="K120" s="3">
        <v>0</v>
      </c>
      <c r="L120" t="s">
        <v>27</v>
      </c>
      <c r="M120" t="s">
        <v>27</v>
      </c>
      <c r="N120" t="s">
        <v>27</v>
      </c>
      <c r="O120" t="s">
        <v>148</v>
      </c>
      <c r="P120" t="s">
        <v>149</v>
      </c>
      <c r="Q120" s="3">
        <v>5</v>
      </c>
      <c r="R120" s="4">
        <v>86.15</v>
      </c>
      <c r="S120" t="s">
        <v>8</v>
      </c>
      <c r="T120" s="2">
        <v>45654</v>
      </c>
      <c r="U120" s="2">
        <v>45654</v>
      </c>
      <c r="V120" t="s">
        <v>335</v>
      </c>
      <c r="W120" t="s">
        <v>336</v>
      </c>
      <c r="X120" t="s">
        <v>89</v>
      </c>
      <c r="Y120" t="s">
        <v>33</v>
      </c>
      <c r="Z120" t="s">
        <v>34</v>
      </c>
      <c r="AA120" t="s">
        <v>90</v>
      </c>
      <c r="AB120" s="2">
        <v>45613</v>
      </c>
      <c r="AC120" s="2">
        <v>45643</v>
      </c>
      <c r="AD120" t="s">
        <v>0</v>
      </c>
      <c r="AE120" s="2"/>
      <c r="AF120" s="2"/>
      <c r="AG120" t="s">
        <v>141</v>
      </c>
      <c r="AH120" t="s">
        <v>91</v>
      </c>
      <c r="AI120" s="2">
        <v>45595</v>
      </c>
      <c r="AJ120" s="4">
        <v>86.15</v>
      </c>
      <c r="AK120" s="2">
        <v>45653</v>
      </c>
      <c r="AL120" s="2"/>
      <c r="AM120" t="s">
        <v>12</v>
      </c>
      <c r="AN120" s="5">
        <v>1.072033</v>
      </c>
      <c r="AO120" t="s">
        <v>38</v>
      </c>
      <c r="AP120" t="s">
        <v>150</v>
      </c>
      <c r="AQ120" t="s">
        <v>74</v>
      </c>
      <c r="AR120" s="6">
        <v>1</v>
      </c>
      <c r="AS120" s="3">
        <v>5</v>
      </c>
      <c r="AT120" t="s">
        <v>13</v>
      </c>
      <c r="AU120" s="9">
        <f t="shared" si="1"/>
        <v>45653</v>
      </c>
    </row>
    <row r="121" spans="1:47" x14ac:dyDescent="0.2">
      <c r="A121" t="s">
        <v>84</v>
      </c>
      <c r="B121" t="s">
        <v>333</v>
      </c>
      <c r="C121" s="2">
        <v>45579</v>
      </c>
      <c r="D121" t="s">
        <v>59</v>
      </c>
      <c r="E121" t="s">
        <v>24</v>
      </c>
      <c r="F121" t="s">
        <v>0</v>
      </c>
      <c r="G121" t="s">
        <v>0</v>
      </c>
      <c r="H121" t="s">
        <v>60</v>
      </c>
      <c r="I121" t="s">
        <v>61</v>
      </c>
      <c r="J121" t="s">
        <v>338</v>
      </c>
      <c r="K121" s="3">
        <v>0</v>
      </c>
      <c r="L121" t="s">
        <v>27</v>
      </c>
      <c r="M121" t="s">
        <v>27</v>
      </c>
      <c r="N121" t="s">
        <v>27</v>
      </c>
      <c r="O121" t="s">
        <v>225</v>
      </c>
      <c r="P121" t="s">
        <v>226</v>
      </c>
      <c r="Q121" s="3">
        <v>2</v>
      </c>
      <c r="R121" s="4">
        <v>1.32</v>
      </c>
      <c r="S121" t="s">
        <v>8</v>
      </c>
      <c r="T121" s="2">
        <v>45654</v>
      </c>
      <c r="U121" s="2">
        <v>45654</v>
      </c>
      <c r="V121" t="s">
        <v>335</v>
      </c>
      <c r="W121" t="s">
        <v>336</v>
      </c>
      <c r="X121" t="s">
        <v>89</v>
      </c>
      <c r="Y121" t="s">
        <v>33</v>
      </c>
      <c r="Z121" t="s">
        <v>34</v>
      </c>
      <c r="AA121" t="s">
        <v>90</v>
      </c>
      <c r="AB121" s="2">
        <v>45613</v>
      </c>
      <c r="AC121" s="2">
        <v>45643</v>
      </c>
      <c r="AD121" t="s">
        <v>0</v>
      </c>
      <c r="AE121" s="2"/>
      <c r="AF121" s="2"/>
      <c r="AG121" t="s">
        <v>67</v>
      </c>
      <c r="AH121" t="s">
        <v>91</v>
      </c>
      <c r="AI121" s="2">
        <v>45595</v>
      </c>
      <c r="AJ121" s="4">
        <v>1.32</v>
      </c>
      <c r="AK121" s="2">
        <v>45653</v>
      </c>
      <c r="AL121" s="2"/>
      <c r="AM121" t="s">
        <v>12</v>
      </c>
      <c r="AN121" s="5">
        <v>1.6426E-2</v>
      </c>
      <c r="AO121" t="s">
        <v>38</v>
      </c>
      <c r="AP121" t="s">
        <v>39</v>
      </c>
      <c r="AQ121" t="s">
        <v>74</v>
      </c>
      <c r="AR121" s="6">
        <v>1</v>
      </c>
      <c r="AS121" s="3">
        <v>2</v>
      </c>
      <c r="AT121" t="s">
        <v>13</v>
      </c>
      <c r="AU121" s="9">
        <f t="shared" si="1"/>
        <v>45653</v>
      </c>
    </row>
    <row r="122" spans="1:47" x14ac:dyDescent="0.2">
      <c r="A122" t="s">
        <v>84</v>
      </c>
      <c r="B122" t="s">
        <v>333</v>
      </c>
      <c r="C122" s="2">
        <v>45579</v>
      </c>
      <c r="D122" t="s">
        <v>59</v>
      </c>
      <c r="E122" t="s">
        <v>24</v>
      </c>
      <c r="F122" t="s">
        <v>0</v>
      </c>
      <c r="G122" t="s">
        <v>0</v>
      </c>
      <c r="H122" t="s">
        <v>60</v>
      </c>
      <c r="I122" t="s">
        <v>61</v>
      </c>
      <c r="J122" t="s">
        <v>339</v>
      </c>
      <c r="K122" s="3">
        <v>0</v>
      </c>
      <c r="L122" t="s">
        <v>27</v>
      </c>
      <c r="M122" t="s">
        <v>27</v>
      </c>
      <c r="N122" t="s">
        <v>27</v>
      </c>
      <c r="O122" t="s">
        <v>310</v>
      </c>
      <c r="P122" t="s">
        <v>209</v>
      </c>
      <c r="Q122" s="3">
        <v>5</v>
      </c>
      <c r="R122" s="4">
        <v>1134.3499999999999</v>
      </c>
      <c r="S122" t="s">
        <v>8</v>
      </c>
      <c r="T122" s="2">
        <v>45654</v>
      </c>
      <c r="U122" s="2">
        <v>45654</v>
      </c>
      <c r="V122" t="s">
        <v>335</v>
      </c>
      <c r="W122" t="s">
        <v>336</v>
      </c>
      <c r="X122" t="s">
        <v>89</v>
      </c>
      <c r="Y122" t="s">
        <v>33</v>
      </c>
      <c r="Z122" t="s">
        <v>34</v>
      </c>
      <c r="AA122" t="s">
        <v>90</v>
      </c>
      <c r="AB122" s="2">
        <v>45613</v>
      </c>
      <c r="AC122" s="2">
        <v>45643</v>
      </c>
      <c r="AD122" t="s">
        <v>0</v>
      </c>
      <c r="AE122" s="2"/>
      <c r="AF122" s="2"/>
      <c r="AG122" t="s">
        <v>141</v>
      </c>
      <c r="AH122" t="s">
        <v>91</v>
      </c>
      <c r="AI122" s="2">
        <v>45595</v>
      </c>
      <c r="AJ122" s="4">
        <v>1134.3499999999999</v>
      </c>
      <c r="AK122" s="2">
        <v>45653</v>
      </c>
      <c r="AL122" s="2"/>
      <c r="AM122" t="s">
        <v>12</v>
      </c>
      <c r="AN122" s="5">
        <v>14.115622999999999</v>
      </c>
      <c r="AO122" t="s">
        <v>38</v>
      </c>
      <c r="AP122" t="s">
        <v>39</v>
      </c>
      <c r="AQ122" t="s">
        <v>74</v>
      </c>
      <c r="AR122" s="6">
        <v>1</v>
      </c>
      <c r="AS122" s="3">
        <v>5</v>
      </c>
      <c r="AT122" t="s">
        <v>13</v>
      </c>
      <c r="AU122" s="9">
        <f t="shared" si="1"/>
        <v>45653</v>
      </c>
    </row>
    <row r="123" spans="1:47" x14ac:dyDescent="0.2">
      <c r="A123" t="s">
        <v>84</v>
      </c>
      <c r="B123" t="s">
        <v>333</v>
      </c>
      <c r="C123" s="2">
        <v>45579</v>
      </c>
      <c r="D123" t="s">
        <v>59</v>
      </c>
      <c r="E123" t="s">
        <v>24</v>
      </c>
      <c r="F123" t="s">
        <v>0</v>
      </c>
      <c r="G123" t="s">
        <v>0</v>
      </c>
      <c r="H123" t="s">
        <v>60</v>
      </c>
      <c r="I123" t="s">
        <v>61</v>
      </c>
      <c r="J123" t="s">
        <v>340</v>
      </c>
      <c r="K123" s="3">
        <v>0</v>
      </c>
      <c r="L123" t="s">
        <v>27</v>
      </c>
      <c r="M123" t="s">
        <v>27</v>
      </c>
      <c r="N123" t="s">
        <v>27</v>
      </c>
      <c r="O123" t="s">
        <v>139</v>
      </c>
      <c r="P123" t="s">
        <v>140</v>
      </c>
      <c r="Q123" s="3">
        <v>4</v>
      </c>
      <c r="R123" s="4">
        <v>16.72</v>
      </c>
      <c r="S123" t="s">
        <v>8</v>
      </c>
      <c r="T123" s="2">
        <v>45654</v>
      </c>
      <c r="U123" s="2">
        <v>45654</v>
      </c>
      <c r="V123" t="s">
        <v>335</v>
      </c>
      <c r="W123" t="s">
        <v>336</v>
      </c>
      <c r="X123" t="s">
        <v>89</v>
      </c>
      <c r="Y123" t="s">
        <v>33</v>
      </c>
      <c r="Z123" t="s">
        <v>34</v>
      </c>
      <c r="AA123" t="s">
        <v>90</v>
      </c>
      <c r="AB123" s="2">
        <v>45613</v>
      </c>
      <c r="AC123" s="2">
        <v>45643</v>
      </c>
      <c r="AD123" t="s">
        <v>0</v>
      </c>
      <c r="AE123" s="2"/>
      <c r="AF123" s="2"/>
      <c r="AG123" t="s">
        <v>44</v>
      </c>
      <c r="AH123" t="s">
        <v>91</v>
      </c>
      <c r="AI123" s="2">
        <v>45595</v>
      </c>
      <c r="AJ123" s="4">
        <v>16.72</v>
      </c>
      <c r="AK123" s="2">
        <v>45653</v>
      </c>
      <c r="AL123" s="2"/>
      <c r="AM123" t="s">
        <v>12</v>
      </c>
      <c r="AN123" s="5">
        <v>0.20805999999999999</v>
      </c>
      <c r="AO123" t="s">
        <v>38</v>
      </c>
      <c r="AP123" t="s">
        <v>142</v>
      </c>
      <c r="AQ123" t="s">
        <v>74</v>
      </c>
      <c r="AR123" s="6">
        <v>1</v>
      </c>
      <c r="AS123" s="3">
        <v>4</v>
      </c>
      <c r="AT123" t="s">
        <v>13</v>
      </c>
      <c r="AU123" s="9">
        <f t="shared" si="1"/>
        <v>45653</v>
      </c>
    </row>
    <row r="124" spans="1:47" x14ac:dyDescent="0.2">
      <c r="A124" t="s">
        <v>84</v>
      </c>
      <c r="B124" t="s">
        <v>333</v>
      </c>
      <c r="C124" s="2">
        <v>45579</v>
      </c>
      <c r="D124" t="s">
        <v>59</v>
      </c>
      <c r="E124" t="s">
        <v>24</v>
      </c>
      <c r="F124" t="s">
        <v>0</v>
      </c>
      <c r="G124" t="s">
        <v>0</v>
      </c>
      <c r="H124" t="s">
        <v>60</v>
      </c>
      <c r="I124" t="s">
        <v>61</v>
      </c>
      <c r="J124" t="s">
        <v>298</v>
      </c>
      <c r="K124" s="3">
        <v>0</v>
      </c>
      <c r="L124" t="s">
        <v>27</v>
      </c>
      <c r="M124" t="s">
        <v>27</v>
      </c>
      <c r="N124" t="s">
        <v>27</v>
      </c>
      <c r="O124" t="s">
        <v>148</v>
      </c>
      <c r="P124" t="s">
        <v>149</v>
      </c>
      <c r="Q124" s="3">
        <v>4</v>
      </c>
      <c r="R124" s="4">
        <v>68.92</v>
      </c>
      <c r="S124" t="s">
        <v>8</v>
      </c>
      <c r="T124" s="2">
        <v>45654</v>
      </c>
      <c r="U124" s="2">
        <v>45654</v>
      </c>
      <c r="V124" t="s">
        <v>335</v>
      </c>
      <c r="W124" t="s">
        <v>336</v>
      </c>
      <c r="X124" t="s">
        <v>89</v>
      </c>
      <c r="Y124" t="s">
        <v>33</v>
      </c>
      <c r="Z124" t="s">
        <v>34</v>
      </c>
      <c r="AA124" t="s">
        <v>90</v>
      </c>
      <c r="AB124" s="2">
        <v>45613</v>
      </c>
      <c r="AC124" s="2">
        <v>45643</v>
      </c>
      <c r="AD124" t="s">
        <v>0</v>
      </c>
      <c r="AE124" s="2"/>
      <c r="AF124" s="2"/>
      <c r="AG124" t="s">
        <v>44</v>
      </c>
      <c r="AH124" t="s">
        <v>91</v>
      </c>
      <c r="AI124" s="2">
        <v>45595</v>
      </c>
      <c r="AJ124" s="4">
        <v>68.92</v>
      </c>
      <c r="AK124" s="2">
        <v>45653</v>
      </c>
      <c r="AL124" s="2"/>
      <c r="AM124" t="s">
        <v>12</v>
      </c>
      <c r="AN124" s="5">
        <v>0.85762700000000003</v>
      </c>
      <c r="AO124" t="s">
        <v>38</v>
      </c>
      <c r="AP124" t="s">
        <v>150</v>
      </c>
      <c r="AQ124" t="s">
        <v>74</v>
      </c>
      <c r="AR124" s="6">
        <v>1</v>
      </c>
      <c r="AS124" s="3">
        <v>4</v>
      </c>
      <c r="AT124" t="s">
        <v>13</v>
      </c>
      <c r="AU124" s="9">
        <f t="shared" si="1"/>
        <v>45653</v>
      </c>
    </row>
    <row r="125" spans="1:47" x14ac:dyDescent="0.2">
      <c r="A125" t="s">
        <v>84</v>
      </c>
      <c r="B125" t="s">
        <v>341</v>
      </c>
      <c r="C125" s="2">
        <v>45579</v>
      </c>
      <c r="D125" t="s">
        <v>59</v>
      </c>
      <c r="E125" t="s">
        <v>24</v>
      </c>
      <c r="F125" t="s">
        <v>0</v>
      </c>
      <c r="G125" t="s">
        <v>0</v>
      </c>
      <c r="H125" t="s">
        <v>60</v>
      </c>
      <c r="I125" t="s">
        <v>61</v>
      </c>
      <c r="J125" t="s">
        <v>337</v>
      </c>
      <c r="K125" s="3">
        <v>0</v>
      </c>
      <c r="L125" t="s">
        <v>27</v>
      </c>
      <c r="M125" t="s">
        <v>27</v>
      </c>
      <c r="N125" t="s">
        <v>27</v>
      </c>
      <c r="O125" t="s">
        <v>156</v>
      </c>
      <c r="P125" t="s">
        <v>157</v>
      </c>
      <c r="Q125" s="3">
        <v>15</v>
      </c>
      <c r="R125" s="4">
        <v>1265.25</v>
      </c>
      <c r="S125" t="s">
        <v>8</v>
      </c>
      <c r="T125" s="2">
        <v>45654</v>
      </c>
      <c r="U125" s="2">
        <v>45654</v>
      </c>
      <c r="V125" t="s">
        <v>342</v>
      </c>
      <c r="W125" t="s">
        <v>343</v>
      </c>
      <c r="X125" t="s">
        <v>89</v>
      </c>
      <c r="Y125" t="s">
        <v>33</v>
      </c>
      <c r="Z125" t="s">
        <v>34</v>
      </c>
      <c r="AA125" t="s">
        <v>90</v>
      </c>
      <c r="AB125" s="2">
        <v>45613</v>
      </c>
      <c r="AC125" s="2">
        <v>45643</v>
      </c>
      <c r="AD125" t="s">
        <v>0</v>
      </c>
      <c r="AE125" s="2"/>
      <c r="AF125" s="2"/>
      <c r="AG125" t="s">
        <v>52</v>
      </c>
      <c r="AH125" t="s">
        <v>91</v>
      </c>
      <c r="AI125" s="2">
        <v>45595</v>
      </c>
      <c r="AJ125" s="4">
        <v>1265.25</v>
      </c>
      <c r="AK125" s="2">
        <v>45653</v>
      </c>
      <c r="AL125" s="2"/>
      <c r="AM125" t="s">
        <v>12</v>
      </c>
      <c r="AN125" s="5">
        <v>15.744516000000001</v>
      </c>
      <c r="AO125" t="s">
        <v>38</v>
      </c>
      <c r="AP125" t="s">
        <v>39</v>
      </c>
      <c r="AQ125" t="s">
        <v>69</v>
      </c>
      <c r="AR125" s="6">
        <v>1</v>
      </c>
      <c r="AS125" s="3">
        <v>15</v>
      </c>
      <c r="AT125" t="s">
        <v>13</v>
      </c>
      <c r="AU125" s="9">
        <f t="shared" si="1"/>
        <v>45653</v>
      </c>
    </row>
    <row r="126" spans="1:47" x14ac:dyDescent="0.2">
      <c r="A126" t="s">
        <v>84</v>
      </c>
      <c r="B126" t="s">
        <v>341</v>
      </c>
      <c r="C126" s="2">
        <v>45579</v>
      </c>
      <c r="D126" t="s">
        <v>59</v>
      </c>
      <c r="E126" t="s">
        <v>24</v>
      </c>
      <c r="F126" t="s">
        <v>0</v>
      </c>
      <c r="G126" t="s">
        <v>0</v>
      </c>
      <c r="H126" t="s">
        <v>60</v>
      </c>
      <c r="I126" t="s">
        <v>61</v>
      </c>
      <c r="J126" t="s">
        <v>344</v>
      </c>
      <c r="K126" s="3">
        <v>0</v>
      </c>
      <c r="L126" t="s">
        <v>27</v>
      </c>
      <c r="M126" t="s">
        <v>27</v>
      </c>
      <c r="N126" t="s">
        <v>27</v>
      </c>
      <c r="O126" t="s">
        <v>235</v>
      </c>
      <c r="P126" t="s">
        <v>236</v>
      </c>
      <c r="Q126" s="3">
        <v>7</v>
      </c>
      <c r="R126" s="4">
        <v>797.3</v>
      </c>
      <c r="S126" t="s">
        <v>8</v>
      </c>
      <c r="T126" s="2">
        <v>45654</v>
      </c>
      <c r="U126" s="2">
        <v>45654</v>
      </c>
      <c r="V126" t="s">
        <v>342</v>
      </c>
      <c r="W126" t="s">
        <v>343</v>
      </c>
      <c r="X126" t="s">
        <v>89</v>
      </c>
      <c r="Y126" t="s">
        <v>33</v>
      </c>
      <c r="Z126" t="s">
        <v>34</v>
      </c>
      <c r="AA126" t="s">
        <v>90</v>
      </c>
      <c r="AB126" s="2">
        <v>45613</v>
      </c>
      <c r="AC126" s="2">
        <v>45643</v>
      </c>
      <c r="AD126" t="s">
        <v>0</v>
      </c>
      <c r="AE126" s="2"/>
      <c r="AF126" s="2"/>
      <c r="AG126" t="s">
        <v>120</v>
      </c>
      <c r="AH126" t="s">
        <v>91</v>
      </c>
      <c r="AI126" s="2">
        <v>45595</v>
      </c>
      <c r="AJ126" s="4">
        <v>797.3</v>
      </c>
      <c r="AK126" s="2">
        <v>45653</v>
      </c>
      <c r="AL126" s="2"/>
      <c r="AM126" t="s">
        <v>12</v>
      </c>
      <c r="AN126" s="5">
        <v>9.9214409999999997</v>
      </c>
      <c r="AO126" t="s">
        <v>38</v>
      </c>
      <c r="AP126" t="s">
        <v>39</v>
      </c>
      <c r="AQ126" t="s">
        <v>69</v>
      </c>
      <c r="AR126" s="6">
        <v>1</v>
      </c>
      <c r="AS126" s="3">
        <v>7</v>
      </c>
      <c r="AT126" t="s">
        <v>13</v>
      </c>
      <c r="AU126" s="9">
        <f t="shared" si="1"/>
        <v>45653</v>
      </c>
    </row>
    <row r="127" spans="1:47" x14ac:dyDescent="0.2">
      <c r="A127" t="s">
        <v>84</v>
      </c>
      <c r="B127" t="s">
        <v>341</v>
      </c>
      <c r="C127" s="2">
        <v>45579</v>
      </c>
      <c r="D127" t="s">
        <v>59</v>
      </c>
      <c r="E127" t="s">
        <v>24</v>
      </c>
      <c r="F127" t="s">
        <v>0</v>
      </c>
      <c r="G127" t="s">
        <v>0</v>
      </c>
      <c r="H127" t="s">
        <v>60</v>
      </c>
      <c r="I127" t="s">
        <v>61</v>
      </c>
      <c r="J127" t="s">
        <v>280</v>
      </c>
      <c r="K127" s="3">
        <v>0</v>
      </c>
      <c r="L127" t="s">
        <v>27</v>
      </c>
      <c r="M127" t="s">
        <v>27</v>
      </c>
      <c r="N127" t="s">
        <v>27</v>
      </c>
      <c r="O127" t="s">
        <v>238</v>
      </c>
      <c r="P127" t="s">
        <v>209</v>
      </c>
      <c r="Q127" s="3">
        <v>2</v>
      </c>
      <c r="R127" s="4">
        <v>49.76</v>
      </c>
      <c r="S127" t="s">
        <v>8</v>
      </c>
      <c r="T127" s="2">
        <v>45654</v>
      </c>
      <c r="U127" s="2">
        <v>45654</v>
      </c>
      <c r="V127" t="s">
        <v>342</v>
      </c>
      <c r="W127" t="s">
        <v>343</v>
      </c>
      <c r="X127" t="s">
        <v>89</v>
      </c>
      <c r="Y127" t="s">
        <v>33</v>
      </c>
      <c r="Z127" t="s">
        <v>34</v>
      </c>
      <c r="AA127" t="s">
        <v>90</v>
      </c>
      <c r="AB127" s="2">
        <v>45613</v>
      </c>
      <c r="AC127" s="2">
        <v>45643</v>
      </c>
      <c r="AD127" t="s">
        <v>0</v>
      </c>
      <c r="AE127" s="2"/>
      <c r="AF127" s="2"/>
      <c r="AG127" t="s">
        <v>67</v>
      </c>
      <c r="AH127" t="s">
        <v>91</v>
      </c>
      <c r="AI127" s="2">
        <v>45595</v>
      </c>
      <c r="AJ127" s="4">
        <v>49.76</v>
      </c>
      <c r="AK127" s="2">
        <v>45653</v>
      </c>
      <c r="AL127" s="2"/>
      <c r="AM127" t="s">
        <v>12</v>
      </c>
      <c r="AN127" s="5">
        <v>0.61920299999999995</v>
      </c>
      <c r="AO127" t="s">
        <v>38</v>
      </c>
      <c r="AP127" t="s">
        <v>39</v>
      </c>
      <c r="AQ127" t="s">
        <v>74</v>
      </c>
      <c r="AR127" s="6">
        <v>1</v>
      </c>
      <c r="AS127" s="3">
        <v>2</v>
      </c>
      <c r="AT127" t="s">
        <v>13</v>
      </c>
      <c r="AU127" s="9">
        <f t="shared" si="1"/>
        <v>45653</v>
      </c>
    </row>
    <row r="128" spans="1:47" x14ac:dyDescent="0.2">
      <c r="A128" t="s">
        <v>84</v>
      </c>
      <c r="B128" t="s">
        <v>345</v>
      </c>
      <c r="C128" s="2">
        <v>45579</v>
      </c>
      <c r="D128" t="s">
        <v>59</v>
      </c>
      <c r="E128" t="s">
        <v>24</v>
      </c>
      <c r="F128" t="s">
        <v>0</v>
      </c>
      <c r="G128" t="s">
        <v>0</v>
      </c>
      <c r="H128" t="s">
        <v>60</v>
      </c>
      <c r="I128" t="s">
        <v>61</v>
      </c>
      <c r="J128" t="s">
        <v>195</v>
      </c>
      <c r="K128" s="3">
        <v>0</v>
      </c>
      <c r="L128" t="s">
        <v>27</v>
      </c>
      <c r="M128" t="s">
        <v>27</v>
      </c>
      <c r="N128" t="s">
        <v>27</v>
      </c>
      <c r="O128" t="s">
        <v>164</v>
      </c>
      <c r="P128" t="s">
        <v>165</v>
      </c>
      <c r="Q128" s="3">
        <v>2</v>
      </c>
      <c r="R128" s="4">
        <v>18.82</v>
      </c>
      <c r="S128" t="s">
        <v>8</v>
      </c>
      <c r="T128" s="2">
        <v>45654</v>
      </c>
      <c r="U128" s="2">
        <v>45654</v>
      </c>
      <c r="V128" t="s">
        <v>346</v>
      </c>
      <c r="W128" t="s">
        <v>347</v>
      </c>
      <c r="X128" t="s">
        <v>89</v>
      </c>
      <c r="Y128" t="s">
        <v>33</v>
      </c>
      <c r="Z128" t="s">
        <v>34</v>
      </c>
      <c r="AA128" t="s">
        <v>90</v>
      </c>
      <c r="AB128" s="2">
        <v>45613</v>
      </c>
      <c r="AC128" s="2">
        <v>45643</v>
      </c>
      <c r="AD128" t="s">
        <v>0</v>
      </c>
      <c r="AE128" s="2"/>
      <c r="AF128" s="2"/>
      <c r="AG128" t="s">
        <v>67</v>
      </c>
      <c r="AH128" t="s">
        <v>91</v>
      </c>
      <c r="AI128" s="2">
        <v>45595</v>
      </c>
      <c r="AJ128" s="4">
        <v>18.82</v>
      </c>
      <c r="AK128" s="2">
        <v>45653</v>
      </c>
      <c r="AL128" s="2"/>
      <c r="AM128" t="s">
        <v>12</v>
      </c>
      <c r="AN128" s="5">
        <v>0.23419200000000001</v>
      </c>
      <c r="AO128" t="s">
        <v>38</v>
      </c>
      <c r="AP128" t="s">
        <v>39</v>
      </c>
      <c r="AQ128" t="s">
        <v>74</v>
      </c>
      <c r="AR128" s="6">
        <v>1</v>
      </c>
      <c r="AS128" s="3">
        <v>2</v>
      </c>
      <c r="AT128" t="s">
        <v>13</v>
      </c>
      <c r="AU128" s="9">
        <f t="shared" si="1"/>
        <v>45653</v>
      </c>
    </row>
    <row r="129" spans="1:47" x14ac:dyDescent="0.2">
      <c r="A129" t="s">
        <v>84</v>
      </c>
      <c r="B129" t="s">
        <v>345</v>
      </c>
      <c r="C129" s="2">
        <v>45579</v>
      </c>
      <c r="D129" t="s">
        <v>59</v>
      </c>
      <c r="E129" t="s">
        <v>24</v>
      </c>
      <c r="F129" t="s">
        <v>0</v>
      </c>
      <c r="G129" t="s">
        <v>0</v>
      </c>
      <c r="H129" t="s">
        <v>60</v>
      </c>
      <c r="I129" t="s">
        <v>61</v>
      </c>
      <c r="J129" t="s">
        <v>284</v>
      </c>
      <c r="K129" s="3">
        <v>0</v>
      </c>
      <c r="L129" t="s">
        <v>27</v>
      </c>
      <c r="M129" t="s">
        <v>27</v>
      </c>
      <c r="N129" t="s">
        <v>27</v>
      </c>
      <c r="O129" t="s">
        <v>246</v>
      </c>
      <c r="P129" t="s">
        <v>247</v>
      </c>
      <c r="Q129" s="3">
        <v>3</v>
      </c>
      <c r="R129" s="4">
        <v>24.21</v>
      </c>
      <c r="S129" t="s">
        <v>8</v>
      </c>
      <c r="T129" s="2">
        <v>45654</v>
      </c>
      <c r="U129" s="2">
        <v>45654</v>
      </c>
      <c r="V129" t="s">
        <v>346</v>
      </c>
      <c r="W129" t="s">
        <v>347</v>
      </c>
      <c r="X129" t="s">
        <v>89</v>
      </c>
      <c r="Y129" t="s">
        <v>33</v>
      </c>
      <c r="Z129" t="s">
        <v>34</v>
      </c>
      <c r="AA129" t="s">
        <v>90</v>
      </c>
      <c r="AB129" s="2">
        <v>45613</v>
      </c>
      <c r="AC129" s="2">
        <v>45643</v>
      </c>
      <c r="AD129" t="s">
        <v>0</v>
      </c>
      <c r="AE129" s="2"/>
      <c r="AF129" s="2"/>
      <c r="AG129" t="s">
        <v>56</v>
      </c>
      <c r="AH129" t="s">
        <v>91</v>
      </c>
      <c r="AI129" s="2">
        <v>45595</v>
      </c>
      <c r="AJ129" s="4">
        <v>24.21</v>
      </c>
      <c r="AK129" s="2">
        <v>45653</v>
      </c>
      <c r="AL129" s="2"/>
      <c r="AM129" t="s">
        <v>12</v>
      </c>
      <c r="AN129" s="5">
        <v>0.30126399999999998</v>
      </c>
      <c r="AO129" t="s">
        <v>38</v>
      </c>
      <c r="AP129" t="s">
        <v>128</v>
      </c>
      <c r="AQ129" t="s">
        <v>74</v>
      </c>
      <c r="AR129" s="6">
        <v>1</v>
      </c>
      <c r="AS129" s="3">
        <v>3</v>
      </c>
      <c r="AT129" t="s">
        <v>13</v>
      </c>
      <c r="AU129" s="9">
        <f t="shared" si="1"/>
        <v>45653</v>
      </c>
    </row>
    <row r="130" spans="1:47" x14ac:dyDescent="0.2">
      <c r="A130" t="s">
        <v>84</v>
      </c>
      <c r="B130" t="s">
        <v>345</v>
      </c>
      <c r="C130" s="2">
        <v>45579</v>
      </c>
      <c r="D130" t="s">
        <v>59</v>
      </c>
      <c r="E130" t="s">
        <v>24</v>
      </c>
      <c r="F130" t="s">
        <v>0</v>
      </c>
      <c r="G130" t="s">
        <v>0</v>
      </c>
      <c r="H130" t="s">
        <v>60</v>
      </c>
      <c r="I130" t="s">
        <v>61</v>
      </c>
      <c r="J130" t="s">
        <v>348</v>
      </c>
      <c r="K130" s="3">
        <v>0</v>
      </c>
      <c r="L130" t="s">
        <v>27</v>
      </c>
      <c r="M130" t="s">
        <v>27</v>
      </c>
      <c r="N130" t="s">
        <v>27</v>
      </c>
      <c r="O130" t="s">
        <v>249</v>
      </c>
      <c r="P130" t="s">
        <v>250</v>
      </c>
      <c r="Q130" s="3">
        <v>3</v>
      </c>
      <c r="R130" s="4">
        <v>258.75</v>
      </c>
      <c r="S130" t="s">
        <v>8</v>
      </c>
      <c r="T130" s="2">
        <v>45654</v>
      </c>
      <c r="U130" s="2">
        <v>45654</v>
      </c>
      <c r="V130" t="s">
        <v>346</v>
      </c>
      <c r="W130" t="s">
        <v>347</v>
      </c>
      <c r="X130" t="s">
        <v>89</v>
      </c>
      <c r="Y130" t="s">
        <v>33</v>
      </c>
      <c r="Z130" t="s">
        <v>34</v>
      </c>
      <c r="AA130" t="s">
        <v>90</v>
      </c>
      <c r="AB130" s="2">
        <v>45613</v>
      </c>
      <c r="AC130" s="2">
        <v>45643</v>
      </c>
      <c r="AD130" t="s">
        <v>0</v>
      </c>
      <c r="AE130" s="2"/>
      <c r="AF130" s="2"/>
      <c r="AG130" t="s">
        <v>56</v>
      </c>
      <c r="AH130" t="s">
        <v>91</v>
      </c>
      <c r="AI130" s="2">
        <v>45595</v>
      </c>
      <c r="AJ130" s="4">
        <v>258.75</v>
      </c>
      <c r="AK130" s="2">
        <v>45653</v>
      </c>
      <c r="AL130" s="2"/>
      <c r="AM130" t="s">
        <v>12</v>
      </c>
      <c r="AN130" s="5">
        <v>3.2198329999999999</v>
      </c>
      <c r="AO130" t="s">
        <v>38</v>
      </c>
      <c r="AP130" t="s">
        <v>39</v>
      </c>
      <c r="AQ130" t="s">
        <v>74</v>
      </c>
      <c r="AR130" s="6">
        <v>1</v>
      </c>
      <c r="AS130" s="3">
        <v>3</v>
      </c>
      <c r="AT130" t="s">
        <v>13</v>
      </c>
      <c r="AU130" s="9">
        <f t="shared" si="1"/>
        <v>45653</v>
      </c>
    </row>
    <row r="131" spans="1:47" x14ac:dyDescent="0.2">
      <c r="A131" t="s">
        <v>84</v>
      </c>
      <c r="B131" t="s">
        <v>349</v>
      </c>
      <c r="C131" s="2">
        <v>45588</v>
      </c>
      <c r="D131" t="s">
        <v>59</v>
      </c>
      <c r="E131" t="s">
        <v>24</v>
      </c>
      <c r="F131" t="s">
        <v>0</v>
      </c>
      <c r="G131" t="s">
        <v>0</v>
      </c>
      <c r="H131" t="s">
        <v>60</v>
      </c>
      <c r="I131" t="s">
        <v>61</v>
      </c>
      <c r="J131" t="s">
        <v>182</v>
      </c>
      <c r="K131" s="3">
        <v>0</v>
      </c>
      <c r="L131" t="s">
        <v>27</v>
      </c>
      <c r="M131" t="s">
        <v>27</v>
      </c>
      <c r="N131" t="s">
        <v>27</v>
      </c>
      <c r="O131" t="s">
        <v>350</v>
      </c>
      <c r="P131" t="s">
        <v>209</v>
      </c>
      <c r="Q131" s="3">
        <v>3</v>
      </c>
      <c r="R131" s="4">
        <v>1.38</v>
      </c>
      <c r="S131" t="s">
        <v>8</v>
      </c>
      <c r="T131" s="2">
        <v>45680</v>
      </c>
      <c r="U131" s="2">
        <v>45680</v>
      </c>
      <c r="V131" t="s">
        <v>0</v>
      </c>
      <c r="W131" t="s">
        <v>351</v>
      </c>
      <c r="X131" t="s">
        <v>89</v>
      </c>
      <c r="Y131" t="s">
        <v>33</v>
      </c>
      <c r="Z131" t="s">
        <v>34</v>
      </c>
      <c r="AA131" t="s">
        <v>90</v>
      </c>
      <c r="AB131" s="2">
        <v>45613</v>
      </c>
      <c r="AC131" s="2">
        <v>45643</v>
      </c>
      <c r="AD131" t="s">
        <v>0</v>
      </c>
      <c r="AE131" s="2"/>
      <c r="AF131" s="2"/>
      <c r="AG131" t="s">
        <v>56</v>
      </c>
      <c r="AH131" t="s">
        <v>91</v>
      </c>
      <c r="AI131" s="2">
        <v>45595</v>
      </c>
      <c r="AJ131" s="4">
        <v>1.38</v>
      </c>
      <c r="AK131" s="2">
        <v>45653</v>
      </c>
      <c r="AL131" s="2"/>
      <c r="AM131" t="s">
        <v>12</v>
      </c>
      <c r="AN131" s="5">
        <v>1.7172E-2</v>
      </c>
      <c r="AO131" t="s">
        <v>38</v>
      </c>
      <c r="AP131" t="s">
        <v>39</v>
      </c>
      <c r="AQ131" t="s">
        <v>69</v>
      </c>
      <c r="AR131" s="6">
        <v>1</v>
      </c>
      <c r="AS131" s="3">
        <v>3</v>
      </c>
      <c r="AT131" t="s">
        <v>13</v>
      </c>
      <c r="AU131" s="9">
        <f t="shared" ref="AU131:AU137" si="2">IF(AK131="",T131,AK131)</f>
        <v>45653</v>
      </c>
    </row>
    <row r="132" spans="1:47" x14ac:dyDescent="0.2">
      <c r="A132" t="s">
        <v>84</v>
      </c>
      <c r="B132" t="s">
        <v>349</v>
      </c>
      <c r="C132" s="2">
        <v>45588</v>
      </c>
      <c r="D132" t="s">
        <v>59</v>
      </c>
      <c r="E132" t="s">
        <v>24</v>
      </c>
      <c r="F132" t="s">
        <v>0</v>
      </c>
      <c r="G132" t="s">
        <v>0</v>
      </c>
      <c r="H132" t="s">
        <v>60</v>
      </c>
      <c r="I132" t="s">
        <v>61</v>
      </c>
      <c r="J132" t="s">
        <v>352</v>
      </c>
      <c r="K132" s="3">
        <v>0</v>
      </c>
      <c r="L132" t="s">
        <v>27</v>
      </c>
      <c r="M132" t="s">
        <v>27</v>
      </c>
      <c r="N132" t="s">
        <v>27</v>
      </c>
      <c r="O132" t="s">
        <v>288</v>
      </c>
      <c r="P132" t="s">
        <v>289</v>
      </c>
      <c r="Q132" s="3">
        <v>3</v>
      </c>
      <c r="R132" s="4">
        <v>3.51</v>
      </c>
      <c r="S132" t="s">
        <v>8</v>
      </c>
      <c r="T132" s="2">
        <v>45680</v>
      </c>
      <c r="U132" s="2">
        <v>45680</v>
      </c>
      <c r="V132" t="s">
        <v>0</v>
      </c>
      <c r="W132" t="s">
        <v>351</v>
      </c>
      <c r="X132" t="s">
        <v>89</v>
      </c>
      <c r="Y132" t="s">
        <v>33</v>
      </c>
      <c r="Z132" t="s">
        <v>34</v>
      </c>
      <c r="AA132" t="s">
        <v>90</v>
      </c>
      <c r="AB132" s="2">
        <v>45613</v>
      </c>
      <c r="AC132" s="2">
        <v>45643</v>
      </c>
      <c r="AD132" t="s">
        <v>0</v>
      </c>
      <c r="AE132" s="2"/>
      <c r="AF132" s="2"/>
      <c r="AG132" t="s">
        <v>56</v>
      </c>
      <c r="AH132" t="s">
        <v>91</v>
      </c>
      <c r="AI132" s="2">
        <v>45595</v>
      </c>
      <c r="AJ132" s="4">
        <v>3.51</v>
      </c>
      <c r="AK132" s="2">
        <v>45653</v>
      </c>
      <c r="AL132" s="2"/>
      <c r="AM132" t="s">
        <v>12</v>
      </c>
      <c r="AN132" s="5">
        <v>4.3678000000000002E-2</v>
      </c>
      <c r="AO132" t="s">
        <v>38</v>
      </c>
      <c r="AP132" t="s">
        <v>128</v>
      </c>
      <c r="AQ132" t="s">
        <v>74</v>
      </c>
      <c r="AR132" s="6">
        <v>1</v>
      </c>
      <c r="AS132" s="3">
        <v>3</v>
      </c>
      <c r="AT132" t="s">
        <v>13</v>
      </c>
      <c r="AU132" s="9">
        <f t="shared" si="2"/>
        <v>45653</v>
      </c>
    </row>
    <row r="133" spans="1:47" x14ac:dyDescent="0.2">
      <c r="A133" t="s">
        <v>84</v>
      </c>
      <c r="B133" t="s">
        <v>349</v>
      </c>
      <c r="C133" s="2">
        <v>45588</v>
      </c>
      <c r="D133" t="s">
        <v>59</v>
      </c>
      <c r="E133" t="s">
        <v>24</v>
      </c>
      <c r="F133" t="s">
        <v>0</v>
      </c>
      <c r="G133" t="s">
        <v>0</v>
      </c>
      <c r="H133" t="s">
        <v>60</v>
      </c>
      <c r="I133" t="s">
        <v>61</v>
      </c>
      <c r="J133" t="s">
        <v>353</v>
      </c>
      <c r="K133" s="3">
        <v>0</v>
      </c>
      <c r="L133" t="s">
        <v>27</v>
      </c>
      <c r="M133" t="s">
        <v>27</v>
      </c>
      <c r="N133" t="s">
        <v>27</v>
      </c>
      <c r="O133" t="s">
        <v>354</v>
      </c>
      <c r="P133" t="s">
        <v>355</v>
      </c>
      <c r="Q133" s="3">
        <v>3</v>
      </c>
      <c r="R133" s="4">
        <v>1.65</v>
      </c>
      <c r="S133" t="s">
        <v>8</v>
      </c>
      <c r="T133" s="2">
        <v>45680</v>
      </c>
      <c r="U133" s="2">
        <v>45680</v>
      </c>
      <c r="V133" t="s">
        <v>0</v>
      </c>
      <c r="W133" t="s">
        <v>351</v>
      </c>
      <c r="X133" t="s">
        <v>89</v>
      </c>
      <c r="Y133" t="s">
        <v>33</v>
      </c>
      <c r="Z133" t="s">
        <v>34</v>
      </c>
      <c r="AA133" t="s">
        <v>90</v>
      </c>
      <c r="AB133" s="2">
        <v>45613</v>
      </c>
      <c r="AC133" s="2">
        <v>45643</v>
      </c>
      <c r="AD133" t="s">
        <v>0</v>
      </c>
      <c r="AE133" s="2"/>
      <c r="AF133" s="2"/>
      <c r="AG133" t="s">
        <v>56</v>
      </c>
      <c r="AH133" t="s">
        <v>91</v>
      </c>
      <c r="AI133" s="2">
        <v>45595</v>
      </c>
      <c r="AJ133" s="4">
        <v>1.65</v>
      </c>
      <c r="AK133" s="2">
        <v>45653</v>
      </c>
      <c r="AL133" s="2"/>
      <c r="AM133" t="s">
        <v>12</v>
      </c>
      <c r="AN133" s="5">
        <v>2.0532000000000002E-2</v>
      </c>
      <c r="AO133" t="s">
        <v>38</v>
      </c>
      <c r="AP133" t="s">
        <v>128</v>
      </c>
      <c r="AQ133" t="s">
        <v>74</v>
      </c>
      <c r="AR133" s="6">
        <v>1</v>
      </c>
      <c r="AS133" s="3">
        <v>3</v>
      </c>
      <c r="AT133" t="s">
        <v>13</v>
      </c>
      <c r="AU133" s="9">
        <f t="shared" si="2"/>
        <v>45653</v>
      </c>
    </row>
    <row r="134" spans="1:47" x14ac:dyDescent="0.2">
      <c r="A134" t="s">
        <v>84</v>
      </c>
      <c r="B134" t="s">
        <v>349</v>
      </c>
      <c r="C134" s="2">
        <v>45588</v>
      </c>
      <c r="D134" t="s">
        <v>59</v>
      </c>
      <c r="E134" t="s">
        <v>24</v>
      </c>
      <c r="F134" t="s">
        <v>0</v>
      </c>
      <c r="G134" t="s">
        <v>0</v>
      </c>
      <c r="H134" t="s">
        <v>60</v>
      </c>
      <c r="I134" t="s">
        <v>61</v>
      </c>
      <c r="J134" t="s">
        <v>175</v>
      </c>
      <c r="K134" s="3">
        <v>0</v>
      </c>
      <c r="L134" t="s">
        <v>27</v>
      </c>
      <c r="M134" t="s">
        <v>27</v>
      </c>
      <c r="N134" t="s">
        <v>27</v>
      </c>
      <c r="O134" t="s">
        <v>356</v>
      </c>
      <c r="P134" t="s">
        <v>357</v>
      </c>
      <c r="Q134" s="3">
        <v>1</v>
      </c>
      <c r="R134" s="4">
        <v>0.2</v>
      </c>
      <c r="S134" t="s">
        <v>8</v>
      </c>
      <c r="T134" s="2">
        <v>45680</v>
      </c>
      <c r="U134" s="2">
        <v>45680</v>
      </c>
      <c r="V134" t="s">
        <v>0</v>
      </c>
      <c r="W134" t="s">
        <v>351</v>
      </c>
      <c r="X134" t="s">
        <v>89</v>
      </c>
      <c r="Y134" t="s">
        <v>33</v>
      </c>
      <c r="Z134" t="s">
        <v>34</v>
      </c>
      <c r="AA134" t="s">
        <v>90</v>
      </c>
      <c r="AB134" s="2">
        <v>45613</v>
      </c>
      <c r="AC134" s="2">
        <v>45643</v>
      </c>
      <c r="AD134" t="s">
        <v>0</v>
      </c>
      <c r="AE134" s="2"/>
      <c r="AF134" s="2"/>
      <c r="AG134" t="s">
        <v>98</v>
      </c>
      <c r="AH134" t="s">
        <v>91</v>
      </c>
      <c r="AI134" s="2">
        <v>45595</v>
      </c>
      <c r="AJ134" s="4">
        <v>0.2</v>
      </c>
      <c r="AK134" s="2">
        <v>45653</v>
      </c>
      <c r="AL134" s="2"/>
      <c r="AM134" t="s">
        <v>12</v>
      </c>
      <c r="AN134" s="5">
        <v>2.4889999999999999E-3</v>
      </c>
      <c r="AO134" t="s">
        <v>38</v>
      </c>
      <c r="AP134" t="s">
        <v>39</v>
      </c>
      <c r="AQ134" t="s">
        <v>74</v>
      </c>
      <c r="AR134" s="6">
        <v>1</v>
      </c>
      <c r="AS134" s="3">
        <v>1</v>
      </c>
      <c r="AT134" t="s">
        <v>13</v>
      </c>
      <c r="AU134" s="9">
        <f t="shared" si="2"/>
        <v>45653</v>
      </c>
    </row>
    <row r="135" spans="1:47" x14ac:dyDescent="0.2">
      <c r="A135" t="s">
        <v>0</v>
      </c>
      <c r="B135" t="s">
        <v>358</v>
      </c>
      <c r="C135" s="2">
        <v>45597</v>
      </c>
      <c r="D135" t="s">
        <v>0</v>
      </c>
      <c r="E135" t="s">
        <v>24</v>
      </c>
      <c r="F135" t="s">
        <v>0</v>
      </c>
      <c r="G135" t="s">
        <v>0</v>
      </c>
      <c r="H135" t="s">
        <v>60</v>
      </c>
      <c r="I135" t="s">
        <v>61</v>
      </c>
      <c r="J135" t="s">
        <v>269</v>
      </c>
      <c r="K135" s="3">
        <v>1</v>
      </c>
      <c r="L135" t="s">
        <v>0</v>
      </c>
      <c r="M135" t="s">
        <v>0</v>
      </c>
      <c r="N135" t="s">
        <v>0</v>
      </c>
      <c r="O135" t="s">
        <v>200</v>
      </c>
      <c r="P135" t="s">
        <v>359</v>
      </c>
      <c r="Q135" s="3">
        <v>1</v>
      </c>
      <c r="R135" s="4">
        <v>0.38</v>
      </c>
      <c r="S135" t="s">
        <v>8</v>
      </c>
      <c r="T135" s="2">
        <v>45628</v>
      </c>
      <c r="U135" s="2">
        <v>45628</v>
      </c>
      <c r="V135" t="s">
        <v>360</v>
      </c>
      <c r="W135" t="s">
        <v>361</v>
      </c>
      <c r="X135" t="s">
        <v>0</v>
      </c>
      <c r="Y135" t="s">
        <v>0</v>
      </c>
      <c r="Z135" t="s">
        <v>0</v>
      </c>
      <c r="AA135" t="s">
        <v>0</v>
      </c>
      <c r="AB135" s="2"/>
      <c r="AC135" s="2"/>
      <c r="AD135" t="s">
        <v>0</v>
      </c>
      <c r="AE135" s="2"/>
      <c r="AF135" s="2"/>
      <c r="AG135" t="s">
        <v>11</v>
      </c>
      <c r="AH135" t="s">
        <v>0</v>
      </c>
      <c r="AI135" s="2"/>
      <c r="AJ135" s="4">
        <v>0</v>
      </c>
      <c r="AK135" s="2"/>
      <c r="AL135" s="2"/>
      <c r="AM135" t="s">
        <v>12</v>
      </c>
      <c r="AN135" s="5">
        <v>0</v>
      </c>
      <c r="AO135" t="s">
        <v>0</v>
      </c>
      <c r="AP135" t="s">
        <v>0</v>
      </c>
      <c r="AQ135" t="s">
        <v>0</v>
      </c>
      <c r="AR135" s="6">
        <v>1</v>
      </c>
      <c r="AS135" s="3">
        <v>1</v>
      </c>
      <c r="AT135" t="s">
        <v>13</v>
      </c>
      <c r="AU135" s="9">
        <f t="shared" si="2"/>
        <v>45628</v>
      </c>
    </row>
    <row r="136" spans="1:47" x14ac:dyDescent="0.2">
      <c r="A136" t="s">
        <v>0</v>
      </c>
      <c r="B136" t="s">
        <v>362</v>
      </c>
      <c r="C136" s="2">
        <v>45609</v>
      </c>
      <c r="D136" t="s">
        <v>0</v>
      </c>
      <c r="E136" t="s">
        <v>24</v>
      </c>
      <c r="F136" t="s">
        <v>0</v>
      </c>
      <c r="G136" t="s">
        <v>0</v>
      </c>
      <c r="H136" t="s">
        <v>60</v>
      </c>
      <c r="I136" t="s">
        <v>61</v>
      </c>
      <c r="J136" t="s">
        <v>182</v>
      </c>
      <c r="K136" s="3">
        <v>2</v>
      </c>
      <c r="L136" t="s">
        <v>0</v>
      </c>
      <c r="M136" t="s">
        <v>0</v>
      </c>
      <c r="N136" t="s">
        <v>0</v>
      </c>
      <c r="O136" t="s">
        <v>363</v>
      </c>
      <c r="P136" t="s">
        <v>364</v>
      </c>
      <c r="Q136" s="3">
        <v>2</v>
      </c>
      <c r="R136" s="4">
        <v>342.28</v>
      </c>
      <c r="S136" t="s">
        <v>8</v>
      </c>
      <c r="T136" s="2">
        <v>45681</v>
      </c>
      <c r="U136" s="2">
        <v>45681</v>
      </c>
      <c r="V136" t="s">
        <v>365</v>
      </c>
      <c r="W136" t="s">
        <v>366</v>
      </c>
      <c r="X136" t="s">
        <v>0</v>
      </c>
      <c r="Y136" t="s">
        <v>0</v>
      </c>
      <c r="Z136" t="s">
        <v>0</v>
      </c>
      <c r="AA136" t="s">
        <v>0</v>
      </c>
      <c r="AB136" s="2"/>
      <c r="AC136" s="2"/>
      <c r="AD136" t="s">
        <v>0</v>
      </c>
      <c r="AE136" s="2"/>
      <c r="AF136" s="2"/>
      <c r="AG136" t="s">
        <v>11</v>
      </c>
      <c r="AH136" t="s">
        <v>0</v>
      </c>
      <c r="AI136" s="2"/>
      <c r="AJ136" s="4">
        <v>0</v>
      </c>
      <c r="AK136" s="2"/>
      <c r="AL136" s="2"/>
      <c r="AM136" t="s">
        <v>12</v>
      </c>
      <c r="AN136" s="5">
        <v>0</v>
      </c>
      <c r="AO136" t="s">
        <v>0</v>
      </c>
      <c r="AP136" t="s">
        <v>0</v>
      </c>
      <c r="AQ136" t="s">
        <v>0</v>
      </c>
      <c r="AR136" s="6">
        <v>1</v>
      </c>
      <c r="AS136" s="3">
        <v>2</v>
      </c>
      <c r="AT136" t="s">
        <v>13</v>
      </c>
      <c r="AU136" s="9">
        <f t="shared" si="2"/>
        <v>45681</v>
      </c>
    </row>
    <row r="137" spans="1:47" x14ac:dyDescent="0.2">
      <c r="A137" t="s">
        <v>0</v>
      </c>
      <c r="B137" t="s">
        <v>362</v>
      </c>
      <c r="C137" s="2">
        <v>45609</v>
      </c>
      <c r="D137" t="s">
        <v>0</v>
      </c>
      <c r="E137" t="s">
        <v>24</v>
      </c>
      <c r="F137" t="s">
        <v>0</v>
      </c>
      <c r="G137" t="s">
        <v>0</v>
      </c>
      <c r="H137" t="s">
        <v>60</v>
      </c>
      <c r="I137" t="s">
        <v>61</v>
      </c>
      <c r="J137" t="s">
        <v>195</v>
      </c>
      <c r="K137" s="3">
        <v>2</v>
      </c>
      <c r="L137" t="s">
        <v>0</v>
      </c>
      <c r="M137" t="s">
        <v>0</v>
      </c>
      <c r="N137" t="s">
        <v>0</v>
      </c>
      <c r="O137" t="s">
        <v>367</v>
      </c>
      <c r="P137" t="s">
        <v>368</v>
      </c>
      <c r="Q137" s="3">
        <v>2</v>
      </c>
      <c r="R137" s="4">
        <v>420.22</v>
      </c>
      <c r="S137" t="s">
        <v>8</v>
      </c>
      <c r="T137" s="2">
        <v>45681</v>
      </c>
      <c r="U137" s="2">
        <v>45681</v>
      </c>
      <c r="V137" t="s">
        <v>365</v>
      </c>
      <c r="W137" t="s">
        <v>366</v>
      </c>
      <c r="X137" t="s">
        <v>0</v>
      </c>
      <c r="Y137" t="s">
        <v>0</v>
      </c>
      <c r="Z137" t="s">
        <v>0</v>
      </c>
      <c r="AA137" t="s">
        <v>0</v>
      </c>
      <c r="AB137" s="2"/>
      <c r="AC137" s="2"/>
      <c r="AD137" t="s">
        <v>0</v>
      </c>
      <c r="AE137" s="2"/>
      <c r="AF137" s="2"/>
      <c r="AG137" t="s">
        <v>11</v>
      </c>
      <c r="AH137" t="s">
        <v>0</v>
      </c>
      <c r="AI137" s="2"/>
      <c r="AJ137" s="4">
        <v>0</v>
      </c>
      <c r="AK137" s="2"/>
      <c r="AL137" s="2"/>
      <c r="AM137" t="s">
        <v>12</v>
      </c>
      <c r="AN137" s="5">
        <v>0</v>
      </c>
      <c r="AO137" t="s">
        <v>0</v>
      </c>
      <c r="AP137" t="s">
        <v>0</v>
      </c>
      <c r="AQ137" t="s">
        <v>0</v>
      </c>
      <c r="AR137" s="6">
        <v>1</v>
      </c>
      <c r="AS137" s="3">
        <v>2</v>
      </c>
      <c r="AT137" t="s">
        <v>13</v>
      </c>
      <c r="AU137" s="9">
        <f t="shared" si="2"/>
        <v>45681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D4C92C1AD0124FAEA2CE549EB47725" ma:contentTypeVersion="14" ma:contentTypeDescription="新しいドキュメントを作成します。" ma:contentTypeScope="" ma:versionID="f234a2db794dc5e909fa783abeb6acd3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76fd6f4e70c0f14c21b6ef04a53ebb13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D4718-C9E0-4185-96B6-544AA62E14C5}">
  <ds:schemaRefs>
    <ds:schemaRef ds:uri="http://schemas.microsoft.com/office/2006/metadata/properties"/>
    <ds:schemaRef ds:uri="http://schemas.microsoft.com/office/infopath/2007/PartnerControls"/>
    <ds:schemaRef ds:uri="650b17bc-3d2f-4f7f-90ed-91d7c74cb221"/>
    <ds:schemaRef ds:uri="061e156a-84b8-4e44-9cf1-0142f791148d"/>
  </ds:schemaRefs>
</ds:datastoreItem>
</file>

<file path=customXml/itemProps2.xml><?xml version="1.0" encoding="utf-8"?>
<ds:datastoreItem xmlns:ds="http://schemas.openxmlformats.org/officeDocument/2006/customXml" ds:itemID="{39129D0A-389C-4FCF-ADD5-9F11446403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F42-F8A0-4360-8053-35C4347F4C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2024-11-14T17:34:20Z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0x010100C4D4C92C1AD0124FAEA2CE549EB47725</vt:lpwstr>
  </property>
</Properties>
</file>